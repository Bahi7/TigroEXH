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sky\OneDrive\Documents\"/>
    </mc:Choice>
  </mc:AlternateContent>
  <xr:revisionPtr revIDLastSave="0" documentId="13_ncr:1_{0C140E11-17AB-4293-8C2E-32EF42684F2E}" xr6:coauthVersionLast="47" xr6:coauthVersionMax="47" xr10:uidLastSave="{00000000-0000-0000-0000-000000000000}"/>
  <bookViews>
    <workbookView xWindow="14295" yWindow="0" windowWidth="14610" windowHeight="15585" xr2:uid="{5E7B1FE2-43EB-413E-9DC9-F6CD6EAE3756}"/>
  </bookViews>
  <sheets>
    <sheet name="Tigro EXH improved" sheetId="2" r:id="rId1"/>
    <sheet name="Tigro EXH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60" i="2" l="1"/>
  <c r="N159" i="2"/>
  <c r="N158" i="2"/>
  <c r="N157" i="2"/>
  <c r="N156" i="2"/>
  <c r="N167" i="2"/>
  <c r="N166" i="2"/>
  <c r="N165" i="2"/>
  <c r="N164" i="2"/>
  <c r="N163" i="2"/>
  <c r="N111" i="2"/>
  <c r="N110" i="2"/>
  <c r="N109" i="2"/>
  <c r="N108" i="2"/>
  <c r="N107" i="2"/>
  <c r="N104" i="2"/>
  <c r="N103" i="2"/>
  <c r="N102" i="2"/>
  <c r="N101" i="2"/>
  <c r="N100" i="2"/>
  <c r="N48" i="2"/>
  <c r="N47" i="2"/>
  <c r="N46" i="2"/>
  <c r="N45" i="2"/>
  <c r="N44" i="2"/>
  <c r="N55" i="2"/>
  <c r="N54" i="2"/>
  <c r="N53" i="2"/>
  <c r="N52" i="2"/>
  <c r="N51" i="2"/>
  <c r="M17" i="2"/>
  <c r="N17" i="2" s="1"/>
  <c r="M130" i="2"/>
  <c r="N130" i="2" s="1"/>
  <c r="M74" i="2"/>
  <c r="N74" i="2" s="1"/>
  <c r="G130" i="2"/>
  <c r="H130" i="2" s="1"/>
  <c r="H132" i="2" s="1"/>
  <c r="H135" i="2" s="1"/>
  <c r="J135" i="2" s="1"/>
  <c r="G74" i="2"/>
  <c r="G76" i="2" s="1"/>
  <c r="G17" i="2"/>
  <c r="H17" i="2" s="1"/>
  <c r="A130" i="2"/>
  <c r="A132" i="2" s="1"/>
  <c r="A74" i="2"/>
  <c r="A76" i="2" s="1"/>
  <c r="A17" i="2"/>
  <c r="H55" i="2"/>
  <c r="I132" i="2"/>
  <c r="H160" i="2"/>
  <c r="H159" i="2"/>
  <c r="H158" i="2"/>
  <c r="H157" i="2"/>
  <c r="H156" i="2"/>
  <c r="H167" i="2"/>
  <c r="H166" i="2"/>
  <c r="H165" i="2"/>
  <c r="H164" i="2"/>
  <c r="H163" i="2"/>
  <c r="H111" i="2"/>
  <c r="H110" i="2"/>
  <c r="H109" i="2"/>
  <c r="H108" i="2"/>
  <c r="H107" i="2"/>
  <c r="H104" i="2"/>
  <c r="H103" i="2"/>
  <c r="H102" i="2"/>
  <c r="H101" i="2"/>
  <c r="H100" i="2"/>
  <c r="H54" i="2"/>
  <c r="H53" i="2"/>
  <c r="H52" i="2"/>
  <c r="H51" i="2"/>
  <c r="H48" i="2"/>
  <c r="H47" i="2"/>
  <c r="H46" i="2"/>
  <c r="H45" i="2"/>
  <c r="H44" i="2"/>
  <c r="B167" i="2"/>
  <c r="B166" i="2"/>
  <c r="B165" i="2"/>
  <c r="B164" i="2"/>
  <c r="B163" i="2"/>
  <c r="B160" i="2"/>
  <c r="B159" i="2"/>
  <c r="B158" i="2"/>
  <c r="B157" i="2"/>
  <c r="B156" i="2"/>
  <c r="B111" i="2"/>
  <c r="B110" i="2"/>
  <c r="B109" i="2"/>
  <c r="B108" i="2"/>
  <c r="B107" i="2"/>
  <c r="B104" i="2"/>
  <c r="B103" i="2"/>
  <c r="B102" i="2"/>
  <c r="B101" i="2"/>
  <c r="B100" i="2"/>
  <c r="B55" i="2"/>
  <c r="B54" i="2"/>
  <c r="B53" i="2"/>
  <c r="B52" i="2"/>
  <c r="B51" i="2"/>
  <c r="B48" i="2"/>
  <c r="B47" i="2"/>
  <c r="B46" i="2"/>
  <c r="B45" i="2"/>
  <c r="B44" i="2"/>
  <c r="M165" i="2"/>
  <c r="M158" i="2"/>
  <c r="O154" i="2"/>
  <c r="O153" i="2"/>
  <c r="N125" i="2"/>
  <c r="N134" i="2" s="1"/>
  <c r="O123" i="2"/>
  <c r="O122" i="2"/>
  <c r="N117" i="2"/>
  <c r="O150" i="2" s="1"/>
  <c r="M109" i="2"/>
  <c r="M102" i="2"/>
  <c r="O98" i="2"/>
  <c r="O97" i="2"/>
  <c r="N69" i="2"/>
  <c r="O76" i="2" s="1"/>
  <c r="O67" i="2"/>
  <c r="O66" i="2"/>
  <c r="N61" i="2"/>
  <c r="O92" i="2" s="1"/>
  <c r="M53" i="2"/>
  <c r="M46" i="2"/>
  <c r="O41" i="2"/>
  <c r="O40" i="2"/>
  <c r="N12" i="2"/>
  <c r="N21" i="2" s="1"/>
  <c r="O10" i="2"/>
  <c r="O9" i="2"/>
  <c r="N4" i="2"/>
  <c r="P4" i="2" s="1"/>
  <c r="N3" i="2" s="1"/>
  <c r="M9" i="2" s="1"/>
  <c r="G165" i="2"/>
  <c r="G158" i="2"/>
  <c r="I154" i="2"/>
  <c r="I153" i="2"/>
  <c r="H125" i="2"/>
  <c r="H134" i="2" s="1"/>
  <c r="I123" i="2"/>
  <c r="I122" i="2"/>
  <c r="H117" i="2"/>
  <c r="I146" i="2" s="1"/>
  <c r="G109" i="2"/>
  <c r="G102" i="2"/>
  <c r="I98" i="2"/>
  <c r="I97" i="2"/>
  <c r="H74" i="2"/>
  <c r="H69" i="2"/>
  <c r="H78" i="2" s="1"/>
  <c r="I67" i="2"/>
  <c r="I66" i="2"/>
  <c r="H61" i="2"/>
  <c r="I94" i="2" s="1"/>
  <c r="G53" i="2"/>
  <c r="G46" i="2"/>
  <c r="I41" i="2"/>
  <c r="I40" i="2"/>
  <c r="H12" i="2"/>
  <c r="H21" i="2" s="1"/>
  <c r="I10" i="2"/>
  <c r="I9" i="2"/>
  <c r="H4" i="2"/>
  <c r="J4" i="2" s="1"/>
  <c r="H3" i="2" s="1"/>
  <c r="G9" i="2" s="1"/>
  <c r="C98" i="2"/>
  <c r="C97" i="2"/>
  <c r="B117" i="2"/>
  <c r="C150" i="2" s="1"/>
  <c r="B125" i="2"/>
  <c r="B134" i="2" s="1"/>
  <c r="C41" i="2"/>
  <c r="C40" i="2"/>
  <c r="C123" i="2"/>
  <c r="C122" i="2" s="1"/>
  <c r="C67" i="2"/>
  <c r="C66" i="2" s="1"/>
  <c r="C10" i="2"/>
  <c r="A165" i="2"/>
  <c r="A158" i="2"/>
  <c r="A109" i="2"/>
  <c r="A102" i="2"/>
  <c r="B69" i="2"/>
  <c r="B78" i="2" s="1"/>
  <c r="B61" i="2"/>
  <c r="C85" i="2" s="1"/>
  <c r="A53" i="2"/>
  <c r="A46" i="2"/>
  <c r="B17" i="2"/>
  <c r="B12" i="2"/>
  <c r="B21" i="2" s="1"/>
  <c r="B4" i="2"/>
  <c r="C37" i="2" s="1"/>
  <c r="H159" i="1"/>
  <c r="H158" i="1"/>
  <c r="H157" i="1"/>
  <c r="H156" i="1"/>
  <c r="H155" i="1"/>
  <c r="O122" i="1"/>
  <c r="H103" i="1"/>
  <c r="H102" i="1"/>
  <c r="H101" i="1"/>
  <c r="H100" i="1"/>
  <c r="H99" i="1"/>
  <c r="G73" i="1"/>
  <c r="I66" i="1"/>
  <c r="H54" i="1"/>
  <c r="H53" i="1"/>
  <c r="H52" i="1"/>
  <c r="H51" i="1"/>
  <c r="H50" i="1"/>
  <c r="H47" i="1"/>
  <c r="H46" i="1"/>
  <c r="H45" i="1"/>
  <c r="H44" i="1"/>
  <c r="H43" i="1"/>
  <c r="H40" i="1"/>
  <c r="G17" i="1"/>
  <c r="M164" i="1"/>
  <c r="N159" i="1"/>
  <c r="N158" i="1"/>
  <c r="N157" i="1"/>
  <c r="M157" i="1"/>
  <c r="N156" i="1"/>
  <c r="N155" i="1"/>
  <c r="O138" i="1" s="1"/>
  <c r="O152" i="1"/>
  <c r="O149" i="1"/>
  <c r="O148" i="1"/>
  <c r="O147" i="1"/>
  <c r="O146" i="1"/>
  <c r="O145" i="1"/>
  <c r="O139" i="1"/>
  <c r="M131" i="1"/>
  <c r="N129" i="1"/>
  <c r="N131" i="1" s="1"/>
  <c r="N124" i="1"/>
  <c r="N133" i="1" s="1"/>
  <c r="O121" i="1"/>
  <c r="N116" i="1"/>
  <c r="P116" i="1" s="1"/>
  <c r="M108" i="1"/>
  <c r="N103" i="1"/>
  <c r="N102" i="1"/>
  <c r="N101" i="1"/>
  <c r="M101" i="1"/>
  <c r="N100" i="1"/>
  <c r="N99" i="1"/>
  <c r="O96" i="1"/>
  <c r="O93" i="1"/>
  <c r="O92" i="1"/>
  <c r="O91" i="1"/>
  <c r="O90" i="1"/>
  <c r="O89" i="1"/>
  <c r="O83" i="1"/>
  <c r="M75" i="1"/>
  <c r="N73" i="1"/>
  <c r="N75" i="1" s="1"/>
  <c r="N68" i="1"/>
  <c r="N77" i="1" s="1"/>
  <c r="O66" i="1"/>
  <c r="O65" i="1"/>
  <c r="N60" i="1"/>
  <c r="O84" i="1" s="1"/>
  <c r="N54" i="1"/>
  <c r="N53" i="1"/>
  <c r="N52" i="1"/>
  <c r="M52" i="1"/>
  <c r="N51" i="1"/>
  <c r="N50" i="1"/>
  <c r="N47" i="1"/>
  <c r="N46" i="1"/>
  <c r="N45" i="1"/>
  <c r="M45" i="1"/>
  <c r="N44" i="1"/>
  <c r="N43" i="1"/>
  <c r="N40" i="1"/>
  <c r="O40" i="1" s="1"/>
  <c r="O37" i="1"/>
  <c r="O36" i="1"/>
  <c r="O35" i="1"/>
  <c r="O34" i="1"/>
  <c r="O33" i="1"/>
  <c r="O27" i="1"/>
  <c r="N21" i="1"/>
  <c r="O19" i="1"/>
  <c r="N23" i="1" s="1"/>
  <c r="M19" i="1"/>
  <c r="M17" i="1"/>
  <c r="N17" i="1" s="1"/>
  <c r="N19" i="1" s="1"/>
  <c r="N12" i="1"/>
  <c r="O9" i="1"/>
  <c r="N4" i="1"/>
  <c r="O26" i="1" s="1"/>
  <c r="G164" i="1"/>
  <c r="A164" i="1"/>
  <c r="B159" i="1"/>
  <c r="B158" i="1"/>
  <c r="G157" i="1"/>
  <c r="B157" i="1"/>
  <c r="A157" i="1"/>
  <c r="B156" i="1"/>
  <c r="I138" i="1"/>
  <c r="B155" i="1"/>
  <c r="C138" i="1" s="1"/>
  <c r="I152" i="1"/>
  <c r="C152" i="1"/>
  <c r="I149" i="1"/>
  <c r="C149" i="1"/>
  <c r="I148" i="1"/>
  <c r="C148" i="1"/>
  <c r="I147" i="1"/>
  <c r="C147" i="1"/>
  <c r="I146" i="1"/>
  <c r="C146" i="1"/>
  <c r="I145" i="1"/>
  <c r="C145" i="1"/>
  <c r="C142" i="1"/>
  <c r="C141" i="1"/>
  <c r="I140" i="1"/>
  <c r="I139" i="1"/>
  <c r="C139" i="1"/>
  <c r="B134" i="1"/>
  <c r="D134" i="1" s="1"/>
  <c r="H133" i="1"/>
  <c r="B133" i="1"/>
  <c r="I131" i="1"/>
  <c r="G131" i="1"/>
  <c r="C131" i="1"/>
  <c r="B135" i="1" s="1"/>
  <c r="A131" i="1"/>
  <c r="H129" i="1"/>
  <c r="H131" i="1" s="1"/>
  <c r="B129" i="1"/>
  <c r="H124" i="1"/>
  <c r="B124" i="1"/>
  <c r="B131" i="1" s="1"/>
  <c r="I122" i="1"/>
  <c r="C122" i="1"/>
  <c r="I121" i="1"/>
  <c r="C121" i="1"/>
  <c r="H116" i="1"/>
  <c r="I142" i="1" s="1"/>
  <c r="D116" i="1"/>
  <c r="B115" i="1" s="1"/>
  <c r="A121" i="1" s="1"/>
  <c r="B116" i="1"/>
  <c r="C140" i="1" s="1"/>
  <c r="G108" i="1"/>
  <c r="A108" i="1"/>
  <c r="B103" i="1"/>
  <c r="B102" i="1"/>
  <c r="G101" i="1"/>
  <c r="B101" i="1"/>
  <c r="A101" i="1"/>
  <c r="B100" i="1"/>
  <c r="B99" i="1"/>
  <c r="I96" i="1"/>
  <c r="C96" i="1"/>
  <c r="B96" i="1"/>
  <c r="I93" i="1"/>
  <c r="C93" i="1"/>
  <c r="I92" i="1"/>
  <c r="C92" i="1"/>
  <c r="I91" i="1"/>
  <c r="C91" i="1"/>
  <c r="I90" i="1"/>
  <c r="C90" i="1"/>
  <c r="I89" i="1"/>
  <c r="C89" i="1"/>
  <c r="I86" i="1"/>
  <c r="C86" i="1"/>
  <c r="I85" i="1"/>
  <c r="C85" i="1"/>
  <c r="I83" i="1"/>
  <c r="C83" i="1"/>
  <c r="I82" i="1"/>
  <c r="C82" i="1"/>
  <c r="H77" i="1"/>
  <c r="B77" i="1"/>
  <c r="I75" i="1"/>
  <c r="H78" i="1" s="1"/>
  <c r="J78" i="1" s="1"/>
  <c r="G75" i="1"/>
  <c r="H73" i="1"/>
  <c r="H75" i="1" s="1"/>
  <c r="A73" i="1"/>
  <c r="B73" i="1" s="1"/>
  <c r="B75" i="1" s="1"/>
  <c r="H68" i="1"/>
  <c r="B68" i="1"/>
  <c r="C75" i="1" s="1"/>
  <c r="C66" i="1"/>
  <c r="I65" i="1"/>
  <c r="H59" i="1" s="1"/>
  <c r="G65" i="1" s="1"/>
  <c r="C65" i="1"/>
  <c r="J60" i="1"/>
  <c r="H60" i="1"/>
  <c r="I84" i="1" s="1"/>
  <c r="B60" i="1"/>
  <c r="C84" i="1" s="1"/>
  <c r="G52" i="1"/>
  <c r="A52" i="1"/>
  <c r="G45" i="1"/>
  <c r="A45" i="1"/>
  <c r="I40" i="1"/>
  <c r="B40" i="1"/>
  <c r="C40" i="1" s="1"/>
  <c r="I37" i="1"/>
  <c r="C37" i="1"/>
  <c r="I36" i="1"/>
  <c r="C36" i="1"/>
  <c r="I35" i="1"/>
  <c r="C35" i="1"/>
  <c r="I34" i="1"/>
  <c r="C34" i="1"/>
  <c r="I33" i="1"/>
  <c r="C33" i="1"/>
  <c r="I28" i="1"/>
  <c r="I27" i="1"/>
  <c r="C27" i="1"/>
  <c r="I26" i="1"/>
  <c r="C26" i="1"/>
  <c r="H17" i="1"/>
  <c r="H19" i="1" s="1"/>
  <c r="A17" i="1"/>
  <c r="A19" i="1" s="1"/>
  <c r="H12" i="1"/>
  <c r="I19" i="1" s="1"/>
  <c r="B12" i="1"/>
  <c r="B21" i="1" s="1"/>
  <c r="I9" i="1"/>
  <c r="C9" i="1"/>
  <c r="H4" i="1"/>
  <c r="I30" i="1" s="1"/>
  <c r="B4" i="1"/>
  <c r="D4" i="1" s="1"/>
  <c r="B3" i="1" s="1"/>
  <c r="A9" i="1" s="1"/>
  <c r="H76" i="2" l="1"/>
  <c r="H79" i="2" s="1"/>
  <c r="J79" i="2" s="1"/>
  <c r="O19" i="2"/>
  <c r="N132" i="2"/>
  <c r="G19" i="2"/>
  <c r="O139" i="2"/>
  <c r="O140" i="2"/>
  <c r="B74" i="2"/>
  <c r="N19" i="2"/>
  <c r="M76" i="2"/>
  <c r="A19" i="2"/>
  <c r="M132" i="2"/>
  <c r="N80" i="2"/>
  <c r="M19" i="2"/>
  <c r="N23" i="2" s="1"/>
  <c r="G132" i="2"/>
  <c r="H136" i="2" s="1"/>
  <c r="B130" i="2"/>
  <c r="B132" i="2" s="1"/>
  <c r="B135" i="2" s="1"/>
  <c r="D135" i="2" s="1"/>
  <c r="N78" i="2"/>
  <c r="O83" i="2"/>
  <c r="O35" i="2"/>
  <c r="O36" i="2"/>
  <c r="N22" i="2"/>
  <c r="P22" i="2" s="1"/>
  <c r="I19" i="2"/>
  <c r="H23" i="2" s="1"/>
  <c r="I27" i="2"/>
  <c r="O28" i="2"/>
  <c r="I28" i="2"/>
  <c r="I76" i="2"/>
  <c r="O33" i="2"/>
  <c r="I33" i="2"/>
  <c r="I83" i="2"/>
  <c r="I36" i="2"/>
  <c r="O37" i="2"/>
  <c r="H19" i="2"/>
  <c r="H22" i="2" s="1"/>
  <c r="J22" i="2" s="1"/>
  <c r="O26" i="2"/>
  <c r="I26" i="2"/>
  <c r="O27" i="2"/>
  <c r="I139" i="2"/>
  <c r="N76" i="2"/>
  <c r="N79" i="2" s="1"/>
  <c r="P79" i="2" s="1"/>
  <c r="I140" i="2"/>
  <c r="O29" i="2"/>
  <c r="I29" i="2"/>
  <c r="O30" i="2"/>
  <c r="I30" i="2"/>
  <c r="O34" i="2"/>
  <c r="C132" i="2"/>
  <c r="I35" i="2"/>
  <c r="I37" i="2"/>
  <c r="I34" i="2"/>
  <c r="O87" i="2"/>
  <c r="O148" i="2"/>
  <c r="O141" i="2"/>
  <c r="O142" i="2"/>
  <c r="O143" i="2"/>
  <c r="O85" i="2"/>
  <c r="O146" i="2"/>
  <c r="O86" i="2"/>
  <c r="O90" i="2"/>
  <c r="O149" i="2"/>
  <c r="P117" i="2"/>
  <c r="N116" i="2" s="1"/>
  <c r="M122" i="2" s="1"/>
  <c r="P61" i="2"/>
  <c r="N60" i="2" s="1"/>
  <c r="M66" i="2" s="1"/>
  <c r="O147" i="2"/>
  <c r="O91" i="2"/>
  <c r="O93" i="2"/>
  <c r="O132" i="2"/>
  <c r="O94" i="2"/>
  <c r="O84" i="2"/>
  <c r="I141" i="2"/>
  <c r="I147" i="2"/>
  <c r="I87" i="2"/>
  <c r="I148" i="2"/>
  <c r="I90" i="2"/>
  <c r="I149" i="2"/>
  <c r="I84" i="2"/>
  <c r="I86" i="2"/>
  <c r="I91" i="2"/>
  <c r="I150" i="2"/>
  <c r="I85" i="2"/>
  <c r="J61" i="2"/>
  <c r="H60" i="2" s="1"/>
  <c r="G66" i="2" s="1"/>
  <c r="I92" i="2"/>
  <c r="I143" i="2"/>
  <c r="I93" i="2"/>
  <c r="I142" i="2"/>
  <c r="J117" i="2"/>
  <c r="H116" i="2" s="1"/>
  <c r="G122" i="2" s="1"/>
  <c r="C26" i="2"/>
  <c r="C30" i="2"/>
  <c r="C29" i="2"/>
  <c r="C28" i="2"/>
  <c r="C27" i="2"/>
  <c r="C9" i="2"/>
  <c r="C84" i="2"/>
  <c r="C90" i="2"/>
  <c r="C91" i="2"/>
  <c r="C92" i="2"/>
  <c r="C143" i="2"/>
  <c r="C93" i="2"/>
  <c r="C94" i="2"/>
  <c r="C139" i="2"/>
  <c r="C142" i="2"/>
  <c r="C140" i="2"/>
  <c r="C148" i="2"/>
  <c r="C76" i="2"/>
  <c r="C34" i="2"/>
  <c r="C35" i="2"/>
  <c r="C141" i="2"/>
  <c r="B76" i="2"/>
  <c r="B79" i="2" s="1"/>
  <c r="D79" i="2" s="1"/>
  <c r="C33" i="2"/>
  <c r="C19" i="2"/>
  <c r="B23" i="2" s="1"/>
  <c r="C36" i="2"/>
  <c r="C146" i="2"/>
  <c r="C83" i="2"/>
  <c r="C147" i="2"/>
  <c r="C87" i="2"/>
  <c r="C86" i="2"/>
  <c r="C149" i="2"/>
  <c r="B19" i="2"/>
  <c r="B22" i="2" s="1"/>
  <c r="D22" i="2" s="1"/>
  <c r="D4" i="2"/>
  <c r="D117" i="2"/>
  <c r="B116" i="2" s="1"/>
  <c r="D61" i="2"/>
  <c r="B60" i="2" s="1"/>
  <c r="A66" i="2" s="1"/>
  <c r="H135" i="1"/>
  <c r="N115" i="1"/>
  <c r="M121" i="1" s="1"/>
  <c r="H79" i="1"/>
  <c r="O86" i="1"/>
  <c r="N22" i="1"/>
  <c r="P22" i="1" s="1"/>
  <c r="O140" i="1"/>
  <c r="O85" i="1"/>
  <c r="O28" i="1"/>
  <c r="O75" i="1"/>
  <c r="P4" i="1"/>
  <c r="N3" i="1" s="1"/>
  <c r="M9" i="1" s="1"/>
  <c r="O29" i="1"/>
  <c r="O131" i="1"/>
  <c r="O142" i="1"/>
  <c r="O30" i="1"/>
  <c r="O141" i="1"/>
  <c r="O82" i="1"/>
  <c r="P60" i="1"/>
  <c r="N59" i="1" s="1"/>
  <c r="M65" i="1" s="1"/>
  <c r="H22" i="1"/>
  <c r="J22" i="1" s="1"/>
  <c r="B78" i="1"/>
  <c r="D78" i="1" s="1"/>
  <c r="J116" i="1"/>
  <c r="H115" i="1" s="1"/>
  <c r="G121" i="1" s="1"/>
  <c r="C19" i="1"/>
  <c r="H134" i="1"/>
  <c r="J134" i="1" s="1"/>
  <c r="G19" i="1"/>
  <c r="H23" i="1" s="1"/>
  <c r="C29" i="1"/>
  <c r="I29" i="1"/>
  <c r="A75" i="1"/>
  <c r="B79" i="1" s="1"/>
  <c r="C30" i="1"/>
  <c r="I141" i="1"/>
  <c r="J4" i="1"/>
  <c r="H3" i="1" s="1"/>
  <c r="G9" i="1" s="1"/>
  <c r="H21" i="1"/>
  <c r="D60" i="1"/>
  <c r="B59" i="1" s="1"/>
  <c r="A65" i="1" s="1"/>
  <c r="B17" i="1"/>
  <c r="B19" i="1" s="1"/>
  <c r="C28" i="1"/>
  <c r="H80" i="2" l="1"/>
  <c r="B136" i="2"/>
  <c r="N135" i="2"/>
  <c r="P135" i="2" s="1"/>
  <c r="N136" i="2"/>
  <c r="B3" i="2"/>
  <c r="A9" i="2" s="1"/>
  <c r="B80" i="2"/>
  <c r="A122" i="2"/>
  <c r="N135" i="1"/>
  <c r="N134" i="1"/>
  <c r="P134" i="1" s="1"/>
  <c r="N79" i="1"/>
  <c r="N78" i="1"/>
  <c r="P78" i="1" s="1"/>
  <c r="B23" i="1"/>
  <c r="B22" i="1"/>
  <c r="D22" i="1" s="1"/>
</calcChain>
</file>

<file path=xl/sharedStrings.xml><?xml version="1.0" encoding="utf-8"?>
<sst xmlns="http://schemas.openxmlformats.org/spreadsheetml/2006/main" count="928" uniqueCount="46">
  <si>
    <t>VTH</t>
  </si>
  <si>
    <t>Z</t>
  </si>
  <si>
    <t>Rho</t>
  </si>
  <si>
    <t>log2</t>
  </si>
  <si>
    <t>Average Response</t>
  </si>
  <si>
    <t>Number of Pairs</t>
  </si>
  <si>
    <t>Number of Keywords</t>
  </si>
  <si>
    <t>Max Reponse Length</t>
  </si>
  <si>
    <t>Queue Size Theory Mean</t>
  </si>
  <si>
    <t>E[X^2]</t>
  </si>
  <si>
    <t>Server Mu</t>
  </si>
  <si>
    <t>lambda</t>
  </si>
  <si>
    <t>Get Latency ms</t>
  </si>
  <si>
    <t>Number of Values Retrived at Each Query</t>
  </si>
  <si>
    <t>PosMAp in KB</t>
  </si>
  <si>
    <t>Value size in Bytes</t>
  </si>
  <si>
    <t xml:space="preserve">  </t>
  </si>
  <si>
    <t>Number of Real subtokens</t>
  </si>
  <si>
    <t>Total Number of Sent Subtokens</t>
  </si>
  <si>
    <t>number of Dummy subtokens</t>
  </si>
  <si>
    <t>Number of real values</t>
  </si>
  <si>
    <t>Total Number of received values</t>
  </si>
  <si>
    <t>Number of Dummy Values</t>
  </si>
  <si>
    <t>Query Size in Kilo Bytes</t>
  </si>
  <si>
    <t>Bandwith Overhead in Giga Bytes</t>
  </si>
  <si>
    <t>Average Bandwith KB</t>
  </si>
  <si>
    <t>Ratio</t>
  </si>
  <si>
    <t>Queue  Size</t>
  </si>
  <si>
    <t>%of NumberOf Pairs</t>
  </si>
  <si>
    <t>Mean</t>
  </si>
  <si>
    <t>Median</t>
  </si>
  <si>
    <t>Max</t>
  </si>
  <si>
    <t>std</t>
  </si>
  <si>
    <t>Number of Issued queries</t>
  </si>
  <si>
    <t>Number Of Executed</t>
  </si>
  <si>
    <t>Fill %</t>
  </si>
  <si>
    <t>Latency ms</t>
  </si>
  <si>
    <t>Latency</t>
  </si>
  <si>
    <t>Number Of Executed Sub</t>
  </si>
  <si>
    <t>Q1</t>
  </si>
  <si>
    <t>Q2</t>
  </si>
  <si>
    <t>Number of Issued sub queries</t>
  </si>
  <si>
    <t>Number of recieved  values</t>
  </si>
  <si>
    <t>Number Of Executed Sub tokens</t>
  </si>
  <si>
    <t>lambda 1</t>
  </si>
  <si>
    <t>lambda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</si>
</sst>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sz val="11"/>
      <color rgb="FF3F3F76"/>
      <name val="Aptos Narrow"/>
      <family val="2"/>
      <scheme val="minor"/>
    </font>
    <font>
      <sz val="2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 style="medium">
        <color indexed="64"/>
      </right>
      <top/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4" fillId="3" borderId="3" applyNumberFormat="0" applyAlignment="0" applyProtection="0"/>
    <xf numFmtId="0" fontId="5" fillId="3" borderId="2" applyNumberFormat="0" applyAlignment="0" applyProtection="0"/>
  </cellStyleXfs>
  <cellXfs count="26">
    <xf numFmtId="0" fontId="0" fillId="0" borderId="0" xfId="0"/>
    <xf numFmtId="0" fontId="8" fillId="2" borderId="2" xfId="3" applyFont="1"/>
    <xf numFmtId="0" fontId="5" fillId="3" borderId="2" xfId="5"/>
    <xf numFmtId="0" fontId="5" fillId="3" borderId="5" xfId="5" applyBorder="1"/>
    <xf numFmtId="0" fontId="5" fillId="3" borderId="6" xfId="5" applyBorder="1"/>
    <xf numFmtId="0" fontId="3" fillId="2" borderId="2" xfId="3"/>
    <xf numFmtId="0" fontId="5" fillId="3" borderId="7" xfId="5" applyBorder="1"/>
    <xf numFmtId="0" fontId="4" fillId="3" borderId="3" xfId="4"/>
    <xf numFmtId="11" fontId="5" fillId="3" borderId="2" xfId="5" applyNumberFormat="1"/>
    <xf numFmtId="11" fontId="5" fillId="3" borderId="8" xfId="5" applyNumberFormat="1" applyBorder="1"/>
    <xf numFmtId="2" fontId="5" fillId="3" borderId="2" xfId="5" applyNumberFormat="1"/>
    <xf numFmtId="0" fontId="5" fillId="3" borderId="2" xfId="5" applyNumberFormat="1"/>
    <xf numFmtId="0" fontId="2" fillId="0" borderId="1" xfId="2"/>
    <xf numFmtId="0" fontId="9" fillId="0" borderId="0" xfId="0" applyFont="1"/>
    <xf numFmtId="10" fontId="5" fillId="3" borderId="2" xfId="5" applyNumberFormat="1"/>
    <xf numFmtId="9" fontId="4" fillId="3" borderId="3" xfId="1" applyFont="1" applyFill="1" applyBorder="1" applyAlignment="1">
      <alignment horizontal="left"/>
    </xf>
    <xf numFmtId="11" fontId="4" fillId="3" borderId="3" xfId="4" applyNumberFormat="1"/>
    <xf numFmtId="9" fontId="5" fillId="3" borderId="2" xfId="5" applyNumberFormat="1"/>
    <xf numFmtId="10" fontId="0" fillId="0" borderId="0" xfId="1" applyNumberFormat="1" applyFont="1"/>
    <xf numFmtId="0" fontId="0" fillId="4" borderId="0" xfId="0" applyFill="1"/>
    <xf numFmtId="0" fontId="0" fillId="5" borderId="9" xfId="0" applyFill="1" applyBorder="1"/>
    <xf numFmtId="0" fontId="6" fillId="5" borderId="9" xfId="0" applyFont="1" applyFill="1" applyBorder="1"/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8" fillId="2" borderId="2" xfId="3" applyFont="1"/>
    <xf numFmtId="0" fontId="4" fillId="3" borderId="3" xfId="4"/>
  </cellXfs>
  <cellStyles count="6">
    <cellStyle name="Calculation" xfId="5" builtinId="22"/>
    <cellStyle name="Heading 2" xfId="2" builtinId="17"/>
    <cellStyle name="Input" xfId="3" builtinId="20"/>
    <cellStyle name="Normal" xfId="0" builtinId="0"/>
    <cellStyle name="Output" xfId="4" builtinId="21"/>
    <cellStyle name="Percent" xfId="1" builtinId="5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4D1E0-706C-4C4D-A4F0-62715BA93A1C}">
  <dimension ref="A1:FE457"/>
  <sheetViews>
    <sheetView tabSelected="1" topLeftCell="K145" zoomScale="89" zoomScaleNormal="89" workbookViewId="0">
      <selection activeCell="N167" sqref="N167"/>
    </sheetView>
  </sheetViews>
  <sheetFormatPr defaultRowHeight="15" x14ac:dyDescent="0.25"/>
  <cols>
    <col min="1" max="1" width="38.42578125" bestFit="1" customWidth="1"/>
    <col min="2" max="2" width="30.28515625" bestFit="1" customWidth="1"/>
    <col min="3" max="3" width="27.7109375" bestFit="1" customWidth="1"/>
    <col min="4" max="4" width="17.85546875" bestFit="1" customWidth="1"/>
    <col min="5" max="5" width="5.7109375" style="21" customWidth="1"/>
    <col min="6" max="6" width="5.28515625" customWidth="1"/>
    <col min="7" max="7" width="38.42578125" bestFit="1" customWidth="1"/>
    <col min="8" max="8" width="30.42578125" bestFit="1" customWidth="1"/>
    <col min="9" max="9" width="27.7109375" bestFit="1" customWidth="1"/>
    <col min="10" max="10" width="17.5703125" customWidth="1"/>
    <col min="11" max="11" width="5.42578125" style="20" customWidth="1"/>
    <col min="12" max="12" width="3.42578125" customWidth="1"/>
    <col min="13" max="13" width="27.7109375" bestFit="1" customWidth="1"/>
    <col min="14" max="14" width="22" customWidth="1"/>
    <col min="15" max="15" width="27.7109375" bestFit="1" customWidth="1"/>
    <col min="16" max="16" width="17.5703125" bestFit="1" customWidth="1"/>
    <col min="18" max="19" width="23.42578125" bestFit="1" customWidth="1"/>
    <col min="20" max="20" width="12" bestFit="1" customWidth="1"/>
  </cols>
  <sheetData>
    <row r="1" spans="1:17" ht="46.5" x14ac:dyDescent="0.7">
      <c r="A1" s="22" t="s">
        <v>0</v>
      </c>
      <c r="B1" s="22"/>
      <c r="C1" s="22"/>
      <c r="D1" s="23"/>
      <c r="E1"/>
      <c r="G1" s="22" t="s">
        <v>0</v>
      </c>
      <c r="H1" s="22"/>
      <c r="I1" s="22"/>
      <c r="J1" s="23"/>
      <c r="K1"/>
      <c r="M1" s="22" t="s">
        <v>0</v>
      </c>
      <c r="N1" s="22"/>
      <c r="O1" s="22"/>
      <c r="P1" s="23"/>
    </row>
    <row r="2" spans="1:17" x14ac:dyDescent="0.25">
      <c r="B2" s="1" t="s">
        <v>1</v>
      </c>
      <c r="C2" s="1">
        <v>4</v>
      </c>
      <c r="E2"/>
      <c r="H2" s="1" t="s">
        <v>1</v>
      </c>
      <c r="I2" s="1">
        <v>4</v>
      </c>
      <c r="K2"/>
      <c r="N2" s="1" t="s">
        <v>1</v>
      </c>
      <c r="O2" s="1">
        <v>4</v>
      </c>
    </row>
    <row r="3" spans="1:17" x14ac:dyDescent="0.25">
      <c r="A3" s="2" t="s">
        <v>2</v>
      </c>
      <c r="B3" s="3">
        <f>D9*D4/C9</f>
        <v>5.3697693121693119E-2</v>
      </c>
      <c r="C3" s="1" t="s">
        <v>3</v>
      </c>
      <c r="D3" s="4" t="s">
        <v>4</v>
      </c>
      <c r="E3"/>
      <c r="G3" s="2" t="s">
        <v>2</v>
      </c>
      <c r="H3" s="3">
        <f>J9*J4/I9</f>
        <v>0.10739538624338624</v>
      </c>
      <c r="I3" s="1" t="s">
        <v>3</v>
      </c>
      <c r="J3" s="4" t="s">
        <v>4</v>
      </c>
      <c r="K3"/>
      <c r="M3" s="2" t="s">
        <v>2</v>
      </c>
      <c r="N3" s="3">
        <f>P9*P4/O9</f>
        <v>0.10739538624338624</v>
      </c>
      <c r="O3" s="1" t="s">
        <v>3</v>
      </c>
      <c r="P3" s="4" t="s">
        <v>4</v>
      </c>
    </row>
    <row r="4" spans="1:17" x14ac:dyDescent="0.25">
      <c r="A4" s="2" t="s">
        <v>5</v>
      </c>
      <c r="B4" s="2">
        <f>POWER(2,C4)</f>
        <v>1024</v>
      </c>
      <c r="C4" s="1">
        <v>10</v>
      </c>
      <c r="D4" s="2">
        <f>B4/B5</f>
        <v>1.3544973544973544</v>
      </c>
      <c r="E4"/>
      <c r="G4" s="2" t="s">
        <v>5</v>
      </c>
      <c r="H4" s="2">
        <f>POWER(2,I4)</f>
        <v>1024</v>
      </c>
      <c r="I4" s="1">
        <v>10</v>
      </c>
      <c r="J4" s="2">
        <f>H4/H5</f>
        <v>1.3544973544973544</v>
      </c>
      <c r="K4"/>
      <c r="M4" s="2" t="s">
        <v>5</v>
      </c>
      <c r="N4" s="2">
        <f>POWER(2,O4)</f>
        <v>1024</v>
      </c>
      <c r="O4" s="1">
        <v>10</v>
      </c>
      <c r="P4" s="2">
        <f>N4/N5</f>
        <v>1.3544973544973544</v>
      </c>
    </row>
    <row r="5" spans="1:17" x14ac:dyDescent="0.25">
      <c r="A5" s="5" t="s">
        <v>6</v>
      </c>
      <c r="B5" s="5">
        <v>756</v>
      </c>
      <c r="E5"/>
      <c r="G5" s="5" t="s">
        <v>6</v>
      </c>
      <c r="H5" s="5">
        <v>756</v>
      </c>
      <c r="K5"/>
      <c r="M5" s="5" t="s">
        <v>6</v>
      </c>
      <c r="N5" s="5">
        <v>756</v>
      </c>
    </row>
    <row r="6" spans="1:17" x14ac:dyDescent="0.25">
      <c r="A6" s="5" t="s">
        <v>7</v>
      </c>
      <c r="B6" s="5">
        <v>6</v>
      </c>
      <c r="E6"/>
      <c r="G6" s="5" t="s">
        <v>7</v>
      </c>
      <c r="H6" s="5">
        <v>6</v>
      </c>
      <c r="K6"/>
      <c r="M6" s="5" t="s">
        <v>7</v>
      </c>
      <c r="N6" s="5">
        <v>6</v>
      </c>
    </row>
    <row r="7" spans="1:17" x14ac:dyDescent="0.25">
      <c r="E7"/>
      <c r="K7"/>
    </row>
    <row r="8" spans="1:17" x14ac:dyDescent="0.25">
      <c r="A8" s="2" t="s">
        <v>8</v>
      </c>
      <c r="B8" s="1" t="s">
        <v>9</v>
      </c>
      <c r="C8" s="2" t="s">
        <v>10</v>
      </c>
      <c r="D8" s="1" t="s">
        <v>11</v>
      </c>
      <c r="E8"/>
      <c r="G8" s="2" t="s">
        <v>8</v>
      </c>
      <c r="H8" s="1" t="s">
        <v>9</v>
      </c>
      <c r="I8" s="2" t="s">
        <v>10</v>
      </c>
      <c r="J8" s="1" t="s">
        <v>11</v>
      </c>
      <c r="K8"/>
      <c r="M8" s="2" t="s">
        <v>8</v>
      </c>
      <c r="N8" s="1" t="s">
        <v>9</v>
      </c>
      <c r="O8" s="2" t="s">
        <v>10</v>
      </c>
      <c r="P8" s="1" t="s">
        <v>44</v>
      </c>
      <c r="Q8" s="24" t="s">
        <v>45</v>
      </c>
    </row>
    <row r="9" spans="1:17" x14ac:dyDescent="0.25">
      <c r="A9" s="2">
        <f>B3/(1-B3)*(D4+B9)/2/D4+D9/C9*(1+D4)/(1+D9/C9)</f>
        <v>0.17767023792937137</v>
      </c>
      <c r="B9" s="1">
        <v>2.8412700000000002</v>
      </c>
      <c r="C9" s="6">
        <f>1/C10*1000</f>
        <v>50.44899606497831</v>
      </c>
      <c r="D9" s="1">
        <v>2</v>
      </c>
      <c r="E9"/>
      <c r="G9" s="2">
        <f>H3/(1-H3)*(J4+H9)/2/J4+J9/I9*(1+J4)/(1+J9/I9)</f>
        <v>0.35931916570663786</v>
      </c>
      <c r="H9" s="1">
        <v>2.8412700000000002</v>
      </c>
      <c r="I9" s="6">
        <f>1/I10*1000</f>
        <v>50.44899606497831</v>
      </c>
      <c r="J9" s="1">
        <v>4</v>
      </c>
      <c r="K9"/>
      <c r="M9" s="2">
        <f>N3/(1-N3)*(P4+N9)/2/P4+P9/O9*(1+P4)/(1+P9/O9)</f>
        <v>0.35931916570663786</v>
      </c>
      <c r="N9" s="1">
        <v>2.8412700000000002</v>
      </c>
      <c r="O9" s="6">
        <f>1/O10*1000</f>
        <v>50.44899606497831</v>
      </c>
      <c r="P9" s="1">
        <v>4</v>
      </c>
      <c r="Q9" s="24">
        <v>2</v>
      </c>
    </row>
    <row r="10" spans="1:17" x14ac:dyDescent="0.25">
      <c r="B10" s="1" t="s">
        <v>12</v>
      </c>
      <c r="C10" s="7">
        <f>19822/1000</f>
        <v>19.821999999999999</v>
      </c>
      <c r="E10"/>
      <c r="H10" s="1" t="s">
        <v>12</v>
      </c>
      <c r="I10" s="7">
        <f>19822/1000</f>
        <v>19.821999999999999</v>
      </c>
      <c r="K10"/>
      <c r="N10" s="1" t="s">
        <v>12</v>
      </c>
      <c r="O10" s="7">
        <f>19822/1000</f>
        <v>19.821999999999999</v>
      </c>
    </row>
    <row r="11" spans="1:17" x14ac:dyDescent="0.25">
      <c r="E11"/>
      <c r="K11"/>
    </row>
    <row r="12" spans="1:17" x14ac:dyDescent="0.25">
      <c r="A12" s="2" t="s">
        <v>13</v>
      </c>
      <c r="B12" s="2">
        <f>(C4+2)*C2</f>
        <v>48</v>
      </c>
      <c r="E12"/>
      <c r="G12" s="2" t="s">
        <v>13</v>
      </c>
      <c r="H12" s="2">
        <f>(I4+2)*I2</f>
        <v>48</v>
      </c>
      <c r="K12"/>
      <c r="M12" s="2" t="s">
        <v>13</v>
      </c>
      <c r="N12" s="2">
        <f>(O4+2)*O2</f>
        <v>48</v>
      </c>
    </row>
    <row r="13" spans="1:17" x14ac:dyDescent="0.25">
      <c r="C13" s="1" t="s">
        <v>14</v>
      </c>
      <c r="D13" s="1">
        <v>24</v>
      </c>
      <c r="E13"/>
      <c r="I13" s="1" t="s">
        <v>14</v>
      </c>
      <c r="J13" s="1">
        <v>24</v>
      </c>
      <c r="K13"/>
      <c r="O13" s="1" t="s">
        <v>14</v>
      </c>
      <c r="P13" s="1">
        <v>24</v>
      </c>
    </row>
    <row r="14" spans="1:17" x14ac:dyDescent="0.25">
      <c r="A14" s="1" t="s">
        <v>15</v>
      </c>
      <c r="B14" s="1">
        <v>29</v>
      </c>
      <c r="E14"/>
      <c r="G14" s="1" t="s">
        <v>15</v>
      </c>
      <c r="H14" s="1">
        <v>29</v>
      </c>
      <c r="K14"/>
      <c r="M14" s="1" t="s">
        <v>15</v>
      </c>
      <c r="N14" s="1">
        <v>29</v>
      </c>
    </row>
    <row r="15" spans="1:17" x14ac:dyDescent="0.25">
      <c r="E15"/>
      <c r="K15"/>
    </row>
    <row r="16" spans="1:17" x14ac:dyDescent="0.25">
      <c r="A16" s="7" t="s">
        <v>17</v>
      </c>
      <c r="B16" s="2" t="s">
        <v>18</v>
      </c>
      <c r="C16" s="7" t="s">
        <v>19</v>
      </c>
      <c r="E16"/>
      <c r="G16" s="7" t="s">
        <v>17</v>
      </c>
      <c r="H16" s="2" t="s">
        <v>18</v>
      </c>
      <c r="I16" s="7" t="s">
        <v>19</v>
      </c>
      <c r="K16"/>
      <c r="M16" s="7" t="s">
        <v>17</v>
      </c>
      <c r="N16" s="2" t="s">
        <v>18</v>
      </c>
      <c r="O16" s="7" t="s">
        <v>19</v>
      </c>
    </row>
    <row r="17" spans="1:16" x14ac:dyDescent="0.25">
      <c r="A17" s="16">
        <f>SUM(B40:B41)</f>
        <v>5000</v>
      </c>
      <c r="B17" s="8">
        <f>A17+C17</f>
        <v>61950</v>
      </c>
      <c r="C17" s="7">
        <v>56950</v>
      </c>
      <c r="E17"/>
      <c r="G17" s="16">
        <f>SUM(H40:H41)</f>
        <v>5000</v>
      </c>
      <c r="H17" s="8">
        <f>G17+I17</f>
        <v>30213</v>
      </c>
      <c r="I17" s="7">
        <v>25213</v>
      </c>
      <c r="K17"/>
      <c r="M17" s="16">
        <f>SUM(N40:N41)</f>
        <v>5002</v>
      </c>
      <c r="N17" s="8">
        <f>M17+O17</f>
        <v>41179</v>
      </c>
      <c r="O17" s="7">
        <v>36177</v>
      </c>
    </row>
    <row r="18" spans="1:16" x14ac:dyDescent="0.25">
      <c r="A18" s="2" t="s">
        <v>42</v>
      </c>
      <c r="B18" s="8" t="s">
        <v>21</v>
      </c>
      <c r="C18" s="8" t="s">
        <v>22</v>
      </c>
      <c r="E18"/>
      <c r="G18" s="2" t="s">
        <v>42</v>
      </c>
      <c r="H18" s="8" t="s">
        <v>21</v>
      </c>
      <c r="I18" s="8" t="s">
        <v>22</v>
      </c>
      <c r="K18"/>
      <c r="M18" s="2" t="s">
        <v>42</v>
      </c>
      <c r="N18" s="8" t="s">
        <v>21</v>
      </c>
      <c r="O18" s="8" t="s">
        <v>22</v>
      </c>
    </row>
    <row r="19" spans="1:16" x14ac:dyDescent="0.25">
      <c r="A19" s="8">
        <f>A17*B12</f>
        <v>240000</v>
      </c>
      <c r="B19" s="9">
        <f>B17*B12</f>
        <v>2973600</v>
      </c>
      <c r="C19" s="8">
        <f>C17*B12</f>
        <v>2733600</v>
      </c>
      <c r="E19"/>
      <c r="G19" s="8">
        <f>G17*H12</f>
        <v>240000</v>
      </c>
      <c r="H19" s="9">
        <f>H17*H12</f>
        <v>1450224</v>
      </c>
      <c r="I19" s="8">
        <f>I17*H12</f>
        <v>1210224</v>
      </c>
      <c r="K19"/>
      <c r="M19" s="8">
        <f>M17*N12</f>
        <v>240096</v>
      </c>
      <c r="N19" s="9">
        <f>N17*N12</f>
        <v>1976592</v>
      </c>
      <c r="O19" s="8">
        <f>O17*N12</f>
        <v>1736496</v>
      </c>
    </row>
    <row r="20" spans="1:16" x14ac:dyDescent="0.25">
      <c r="E20"/>
      <c r="K20"/>
    </row>
    <row r="21" spans="1:16" x14ac:dyDescent="0.25">
      <c r="A21" s="2" t="s">
        <v>23</v>
      </c>
      <c r="B21" s="2">
        <f>B14*B12/1024</f>
        <v>1.359375</v>
      </c>
      <c r="E21"/>
      <c r="G21" s="2" t="s">
        <v>23</v>
      </c>
      <c r="H21" s="2">
        <f>H14*H12/1024</f>
        <v>1.359375</v>
      </c>
      <c r="K21"/>
      <c r="M21" s="2" t="s">
        <v>23</v>
      </c>
      <c r="N21" s="2">
        <f>N14*N12/1024</f>
        <v>1.359375</v>
      </c>
    </row>
    <row r="22" spans="1:16" x14ac:dyDescent="0.25">
      <c r="A22" s="2" t="s">
        <v>24</v>
      </c>
      <c r="B22" s="10">
        <f>(B14*B19+B17*D13*1024)/POWER(1024, 3)</f>
        <v>1.4982350170612335</v>
      </c>
      <c r="C22" s="8" t="s">
        <v>25</v>
      </c>
      <c r="D22" s="8">
        <f>B22/A17*POWER(1024,2)</f>
        <v>314.20265625000002</v>
      </c>
      <c r="E22"/>
      <c r="G22" s="2" t="s">
        <v>24</v>
      </c>
      <c r="H22" s="10">
        <f>(H14*H19+H17*J13*1024)/POWER(1024, 3)</f>
        <v>0.73068885505199432</v>
      </c>
      <c r="I22" s="8" t="s">
        <v>25</v>
      </c>
      <c r="J22" s="8">
        <f>H22/G17*POWER(1024,2)</f>
        <v>153.23655937500001</v>
      </c>
      <c r="K22"/>
      <c r="M22" s="2" t="s">
        <v>24</v>
      </c>
      <c r="N22" s="10">
        <f>(N14*O19+N17*P13*1024)/POWER(1024, 3)</f>
        <v>0.98941241204738617</v>
      </c>
      <c r="O22" s="8" t="s">
        <v>25</v>
      </c>
      <c r="P22" s="8">
        <f>N22/N40*POWER(1024,2)</f>
        <v>309.60134568039393</v>
      </c>
    </row>
    <row r="23" spans="1:16" x14ac:dyDescent="0.25">
      <c r="A23" s="2" t="s">
        <v>26</v>
      </c>
      <c r="B23" s="11">
        <f>C19/A19</f>
        <v>11.39</v>
      </c>
      <c r="E23"/>
      <c r="G23" s="2" t="s">
        <v>26</v>
      </c>
      <c r="H23" s="11">
        <f>I19/G19</f>
        <v>5.0426000000000002</v>
      </c>
      <c r="K23"/>
      <c r="M23" s="2" t="s">
        <v>26</v>
      </c>
      <c r="N23" s="11">
        <f>O19/M19</f>
        <v>7.2325069972011198</v>
      </c>
    </row>
    <row r="24" spans="1:16" x14ac:dyDescent="0.25">
      <c r="E24"/>
      <c r="K24"/>
    </row>
    <row r="25" spans="1:16" ht="32.25" thickBot="1" x14ac:dyDescent="0.55000000000000004">
      <c r="A25" s="12" t="s">
        <v>27</v>
      </c>
      <c r="B25" s="13">
        <v>1</v>
      </c>
      <c r="C25" s="2" t="s">
        <v>28</v>
      </c>
      <c r="E25"/>
      <c r="G25" s="12" t="s">
        <v>27</v>
      </c>
      <c r="H25" s="13">
        <v>1</v>
      </c>
      <c r="I25" s="2" t="s">
        <v>28</v>
      </c>
      <c r="K25"/>
      <c r="M25" s="12" t="s">
        <v>27</v>
      </c>
      <c r="N25" s="13">
        <v>1</v>
      </c>
      <c r="O25" s="2" t="s">
        <v>28</v>
      </c>
    </row>
    <row r="26" spans="1:16" ht="15.75" thickTop="1" x14ac:dyDescent="0.25">
      <c r="A26" s="7" t="s">
        <v>29</v>
      </c>
      <c r="B26" s="7">
        <v>8.3799999999999999E-2</v>
      </c>
      <c r="C26" s="14">
        <f>B26/$B$4</f>
        <v>8.18359375E-5</v>
      </c>
      <c r="E26"/>
      <c r="G26" s="7" t="s">
        <v>29</v>
      </c>
      <c r="H26" s="7">
        <v>0.20430000000000001</v>
      </c>
      <c r="I26" s="14">
        <f>H26/$B$4</f>
        <v>1.9951171875000001E-4</v>
      </c>
      <c r="K26"/>
      <c r="M26" s="7" t="s">
        <v>29</v>
      </c>
      <c r="N26" s="7">
        <v>9.9400000000000002E-2</v>
      </c>
      <c r="O26" s="14">
        <f>N26/$B$4</f>
        <v>9.7070312500000002E-5</v>
      </c>
    </row>
    <row r="27" spans="1:16" x14ac:dyDescent="0.25">
      <c r="A27" s="7" t="s">
        <v>30</v>
      </c>
      <c r="B27" s="7">
        <v>0</v>
      </c>
      <c r="C27" s="14">
        <f t="shared" ref="C27:C30" si="0">B27/$B$4</f>
        <v>0</v>
      </c>
      <c r="E27"/>
      <c r="G27" s="7" t="s">
        <v>30</v>
      </c>
      <c r="H27" s="7">
        <v>0</v>
      </c>
      <c r="I27" s="14">
        <f t="shared" ref="I27:I30" si="1">H27/$B$4</f>
        <v>0</v>
      </c>
      <c r="K27"/>
      <c r="M27" s="7" t="s">
        <v>30</v>
      </c>
      <c r="N27" s="7">
        <v>0</v>
      </c>
      <c r="O27" s="14">
        <f t="shared" ref="O27:O30" si="2">N27/$B$4</f>
        <v>0</v>
      </c>
    </row>
    <row r="28" spans="1:16" x14ac:dyDescent="0.25">
      <c r="A28" s="15">
        <v>0.75</v>
      </c>
      <c r="B28" s="7">
        <v>0</v>
      </c>
      <c r="C28" s="14">
        <f t="shared" si="0"/>
        <v>0</v>
      </c>
      <c r="E28"/>
      <c r="G28" s="15">
        <v>0.75</v>
      </c>
      <c r="H28" s="7">
        <v>0</v>
      </c>
      <c r="I28" s="14">
        <f t="shared" si="1"/>
        <v>0</v>
      </c>
      <c r="K28"/>
      <c r="M28" s="15">
        <v>0.75</v>
      </c>
      <c r="N28" s="7">
        <v>0</v>
      </c>
      <c r="O28" s="14">
        <f t="shared" si="2"/>
        <v>0</v>
      </c>
    </row>
    <row r="29" spans="1:16" x14ac:dyDescent="0.25">
      <c r="A29" s="7" t="s">
        <v>31</v>
      </c>
      <c r="B29" s="7">
        <v>9</v>
      </c>
      <c r="C29" s="14">
        <f t="shared" si="0"/>
        <v>8.7890625E-3</v>
      </c>
      <c r="E29"/>
      <c r="G29" s="7" t="s">
        <v>31</v>
      </c>
      <c r="H29" s="7">
        <v>11</v>
      </c>
      <c r="I29" s="14">
        <f t="shared" si="1"/>
        <v>1.07421875E-2</v>
      </c>
      <c r="K29"/>
      <c r="M29" s="7" t="s">
        <v>31</v>
      </c>
      <c r="N29" s="7">
        <v>9</v>
      </c>
      <c r="O29" s="14">
        <f t="shared" si="2"/>
        <v>8.7890625E-3</v>
      </c>
    </row>
    <row r="30" spans="1:16" x14ac:dyDescent="0.25">
      <c r="A30" s="7" t="s">
        <v>32</v>
      </c>
      <c r="B30" s="7">
        <v>0.45669999999999999</v>
      </c>
      <c r="C30" s="14">
        <f t="shared" si="0"/>
        <v>4.4599609374999999E-4</v>
      </c>
      <c r="E30"/>
      <c r="G30" s="7" t="s">
        <v>32</v>
      </c>
      <c r="H30" s="7">
        <v>0.75690000000000002</v>
      </c>
      <c r="I30" s="14">
        <f t="shared" si="1"/>
        <v>7.3916015625000002E-4</v>
      </c>
      <c r="K30"/>
      <c r="M30" s="7" t="s">
        <v>32</v>
      </c>
      <c r="N30" s="7">
        <v>0.53849999999999998</v>
      </c>
      <c r="O30" s="14">
        <f t="shared" si="2"/>
        <v>5.2587890624999998E-4</v>
      </c>
    </row>
    <row r="31" spans="1:16" x14ac:dyDescent="0.25">
      <c r="E31"/>
      <c r="K31"/>
    </row>
    <row r="32" spans="1:16" ht="32.25" thickBot="1" x14ac:dyDescent="0.55000000000000004">
      <c r="A32" s="12" t="s">
        <v>27</v>
      </c>
      <c r="B32" s="13">
        <v>2</v>
      </c>
      <c r="C32" s="2" t="s">
        <v>28</v>
      </c>
      <c r="E32"/>
      <c r="G32" s="12" t="s">
        <v>27</v>
      </c>
      <c r="H32" s="13">
        <v>2</v>
      </c>
      <c r="I32" s="2" t="s">
        <v>28</v>
      </c>
      <c r="K32"/>
      <c r="M32" s="12" t="s">
        <v>27</v>
      </c>
      <c r="N32" s="13">
        <v>2</v>
      </c>
      <c r="O32" s="2" t="s">
        <v>28</v>
      </c>
    </row>
    <row r="33" spans="1:16" ht="15.75" thickTop="1" x14ac:dyDescent="0.25">
      <c r="A33" s="7" t="s">
        <v>29</v>
      </c>
      <c r="B33" s="7">
        <v>9.0999999999999998E-2</v>
      </c>
      <c r="C33" s="14">
        <f>B33/$B$4</f>
        <v>8.8867187499999998E-5</v>
      </c>
      <c r="E33"/>
      <c r="G33" s="7" t="s">
        <v>29</v>
      </c>
      <c r="H33" s="7">
        <v>0.18679999999999999</v>
      </c>
      <c r="I33" s="14">
        <f>H33/$B$4</f>
        <v>1.8242187499999999E-4</v>
      </c>
      <c r="K33"/>
      <c r="M33" s="7" t="s">
        <v>29</v>
      </c>
      <c r="N33" s="7">
        <v>5.1299999999999998E-2</v>
      </c>
      <c r="O33" s="14">
        <f>N33/$B$4</f>
        <v>5.0097656249999998E-5</v>
      </c>
    </row>
    <row r="34" spans="1:16" x14ac:dyDescent="0.25">
      <c r="A34" s="7" t="s">
        <v>30</v>
      </c>
      <c r="B34" s="7">
        <v>0</v>
      </c>
      <c r="C34" s="14">
        <f t="shared" ref="C34:C37" si="3">B34/$B$4</f>
        <v>0</v>
      </c>
      <c r="E34"/>
      <c r="G34" s="7" t="s">
        <v>30</v>
      </c>
      <c r="H34" s="7">
        <v>0</v>
      </c>
      <c r="I34" s="14">
        <f t="shared" ref="I34:I37" si="4">H34/$B$4</f>
        <v>0</v>
      </c>
      <c r="K34"/>
      <c r="M34" s="7" t="s">
        <v>30</v>
      </c>
      <c r="N34" s="7">
        <v>0</v>
      </c>
      <c r="O34" s="14">
        <f t="shared" ref="O34:O37" si="5">N34/$B$4</f>
        <v>0</v>
      </c>
    </row>
    <row r="35" spans="1:16" x14ac:dyDescent="0.25">
      <c r="A35" s="15">
        <v>0.75</v>
      </c>
      <c r="B35" s="7">
        <v>0</v>
      </c>
      <c r="C35" s="14">
        <f t="shared" si="3"/>
        <v>0</v>
      </c>
      <c r="E35"/>
      <c r="G35" s="15">
        <v>0.75</v>
      </c>
      <c r="H35" s="7">
        <v>0</v>
      </c>
      <c r="I35" s="14">
        <f t="shared" si="4"/>
        <v>0</v>
      </c>
      <c r="K35"/>
      <c r="M35" s="15">
        <v>0.75</v>
      </c>
      <c r="N35" s="7">
        <v>0</v>
      </c>
      <c r="O35" s="14">
        <f t="shared" si="5"/>
        <v>0</v>
      </c>
    </row>
    <row r="36" spans="1:16" x14ac:dyDescent="0.25">
      <c r="A36" s="7" t="s">
        <v>31</v>
      </c>
      <c r="B36" s="7">
        <v>7</v>
      </c>
      <c r="C36" s="14">
        <f t="shared" si="3"/>
        <v>6.8359375E-3</v>
      </c>
      <c r="E36"/>
      <c r="G36" s="7" t="s">
        <v>31</v>
      </c>
      <c r="H36" s="7">
        <v>9</v>
      </c>
      <c r="I36" s="14">
        <f t="shared" si="4"/>
        <v>8.7890625E-3</v>
      </c>
      <c r="K36"/>
      <c r="M36" s="7" t="s">
        <v>31</v>
      </c>
      <c r="N36" s="7">
        <v>7</v>
      </c>
      <c r="O36" s="14">
        <f t="shared" si="5"/>
        <v>6.8359375E-3</v>
      </c>
    </row>
    <row r="37" spans="1:16" x14ac:dyDescent="0.25">
      <c r="A37" s="7" t="s">
        <v>32</v>
      </c>
      <c r="B37" s="7">
        <v>0.49690000000000001</v>
      </c>
      <c r="C37" s="14">
        <f t="shared" si="3"/>
        <v>4.8525390625000001E-4</v>
      </c>
      <c r="E37"/>
      <c r="G37" s="7" t="s">
        <v>32</v>
      </c>
      <c r="H37" s="7">
        <v>0.73440000000000005</v>
      </c>
      <c r="I37" s="14">
        <f t="shared" si="4"/>
        <v>7.1718750000000005E-4</v>
      </c>
      <c r="K37"/>
      <c r="M37" s="7" t="s">
        <v>32</v>
      </c>
      <c r="N37" s="7">
        <v>0.36530000000000001</v>
      </c>
      <c r="O37" s="14">
        <f t="shared" si="5"/>
        <v>3.5673828125000001E-4</v>
      </c>
    </row>
    <row r="38" spans="1:16" x14ac:dyDescent="0.25">
      <c r="E38"/>
      <c r="K38"/>
    </row>
    <row r="39" spans="1:16" x14ac:dyDescent="0.25">
      <c r="A39" s="1" t="s">
        <v>41</v>
      </c>
      <c r="B39" s="7" t="s">
        <v>38</v>
      </c>
      <c r="C39" s="2" t="s">
        <v>35</v>
      </c>
      <c r="E39"/>
      <c r="G39" s="1" t="s">
        <v>33</v>
      </c>
      <c r="H39" s="7" t="s">
        <v>38</v>
      </c>
      <c r="I39" s="2" t="s">
        <v>35</v>
      </c>
      <c r="K39"/>
      <c r="M39" s="1" t="s">
        <v>33</v>
      </c>
      <c r="N39" s="7" t="s">
        <v>38</v>
      </c>
      <c r="O39" s="2" t="s">
        <v>35</v>
      </c>
    </row>
    <row r="40" spans="1:16" x14ac:dyDescent="0.25">
      <c r="A40" s="1">
        <v>2500</v>
      </c>
      <c r="B40" s="16">
        <v>2500</v>
      </c>
      <c r="C40" s="17">
        <f>B40/A40</f>
        <v>1</v>
      </c>
      <c r="D40" t="s">
        <v>39</v>
      </c>
      <c r="E40"/>
      <c r="G40" s="1">
        <v>2500</v>
      </c>
      <c r="H40" s="16">
        <v>2500</v>
      </c>
      <c r="I40" s="17">
        <f>H40/G40</f>
        <v>1</v>
      </c>
      <c r="J40" t="s">
        <v>39</v>
      </c>
      <c r="K40"/>
      <c r="M40" s="1"/>
      <c r="N40" s="16">
        <v>3351</v>
      </c>
      <c r="O40" s="17" t="e">
        <f>N40/M40</f>
        <v>#DIV/0!</v>
      </c>
      <c r="P40" t="s">
        <v>39</v>
      </c>
    </row>
    <row r="41" spans="1:16" x14ac:dyDescent="0.25">
      <c r="A41" s="1">
        <v>2500</v>
      </c>
      <c r="B41" s="16">
        <v>2500</v>
      </c>
      <c r="C41" s="17">
        <f>B41/A41</f>
        <v>1</v>
      </c>
      <c r="D41" t="s">
        <v>40</v>
      </c>
      <c r="E41"/>
      <c r="G41" s="1">
        <v>2500</v>
      </c>
      <c r="H41" s="16">
        <v>2500</v>
      </c>
      <c r="I41" s="17">
        <f>H41/G41</f>
        <v>1</v>
      </c>
      <c r="J41" t="s">
        <v>40</v>
      </c>
      <c r="K41"/>
      <c r="M41" s="1"/>
      <c r="N41" s="16">
        <v>1651</v>
      </c>
      <c r="O41" s="17" t="e">
        <f>N41/M41</f>
        <v>#DIV/0!</v>
      </c>
      <c r="P41" t="s">
        <v>40</v>
      </c>
    </row>
    <row r="42" spans="1:16" x14ac:dyDescent="0.25">
      <c r="E42"/>
      <c r="K42"/>
    </row>
    <row r="43" spans="1:16" ht="32.25" thickBot="1" x14ac:dyDescent="0.55000000000000004">
      <c r="A43" s="12" t="s">
        <v>36</v>
      </c>
      <c r="B43" s="13">
        <v>1</v>
      </c>
      <c r="E43"/>
      <c r="G43" s="12" t="s">
        <v>36</v>
      </c>
      <c r="H43" s="13">
        <v>1</v>
      </c>
      <c r="K43"/>
      <c r="M43" s="12" t="s">
        <v>36</v>
      </c>
      <c r="N43" s="13">
        <v>1</v>
      </c>
    </row>
    <row r="44" spans="1:16" ht="15.75" thickTop="1" x14ac:dyDescent="0.25">
      <c r="A44" s="7" t="s">
        <v>29</v>
      </c>
      <c r="B44" s="7">
        <f>70084.5211/1000</f>
        <v>70.084521100000003</v>
      </c>
      <c r="E44"/>
      <c r="G44" s="7" t="s">
        <v>29</v>
      </c>
      <c r="H44" s="7">
        <f>77934.3784/1000</f>
        <v>77.9343784</v>
      </c>
      <c r="K44"/>
      <c r="M44" s="7" t="s">
        <v>29</v>
      </c>
      <c r="N44" s="7">
        <f>58131.6867/1000</f>
        <v>58.131686699999996</v>
      </c>
    </row>
    <row r="45" spans="1:16" x14ac:dyDescent="0.25">
      <c r="A45" s="7" t="s">
        <v>30</v>
      </c>
      <c r="B45" s="7">
        <f>53189/1000</f>
        <v>53.189</v>
      </c>
      <c r="E45"/>
      <c r="G45" s="7" t="s">
        <v>30</v>
      </c>
      <c r="H45" s="7">
        <f>56683/1000</f>
        <v>56.683</v>
      </c>
      <c r="K45"/>
      <c r="M45" s="7" t="s">
        <v>30</v>
      </c>
      <c r="N45" s="7">
        <f>37790/1000</f>
        <v>37.79</v>
      </c>
    </row>
    <row r="46" spans="1:16" x14ac:dyDescent="0.25">
      <c r="A46" s="15">
        <f>75%</f>
        <v>0.75</v>
      </c>
      <c r="B46" s="7">
        <f>87888/1000</f>
        <v>87.888000000000005</v>
      </c>
      <c r="C46" s="18"/>
      <c r="E46"/>
      <c r="G46" s="15">
        <f>75%</f>
        <v>0.75</v>
      </c>
      <c r="H46" s="7">
        <f>100080/1000</f>
        <v>100.08</v>
      </c>
      <c r="I46" s="18"/>
      <c r="K46"/>
      <c r="M46" s="15">
        <f>75%</f>
        <v>0.75</v>
      </c>
      <c r="N46" s="7">
        <f>74645/1000</f>
        <v>74.644999999999996</v>
      </c>
      <c r="O46" s="18"/>
    </row>
    <row r="47" spans="1:16" x14ac:dyDescent="0.25">
      <c r="A47" s="7" t="s">
        <v>31</v>
      </c>
      <c r="B47" s="7">
        <f>383973/1000</f>
        <v>383.97300000000001</v>
      </c>
      <c r="C47" s="18"/>
      <c r="E47"/>
      <c r="G47" s="7" t="s">
        <v>31</v>
      </c>
      <c r="H47" s="7">
        <f>425463/1000</f>
        <v>425.46300000000002</v>
      </c>
      <c r="I47" s="18"/>
      <c r="K47"/>
      <c r="M47" s="7" t="s">
        <v>31</v>
      </c>
      <c r="N47" s="7">
        <f>386036/1000</f>
        <v>386.036</v>
      </c>
      <c r="O47" s="18"/>
    </row>
    <row r="48" spans="1:16" x14ac:dyDescent="0.25">
      <c r="A48" s="7" t="s">
        <v>32</v>
      </c>
      <c r="B48" s="7">
        <f>48928.405/1000</f>
        <v>48.928404999999998</v>
      </c>
      <c r="C48" s="18"/>
      <c r="E48"/>
      <c r="G48" s="7" t="s">
        <v>32</v>
      </c>
      <c r="H48" s="7">
        <f>58169.3483/1000</f>
        <v>58.169348299999996</v>
      </c>
      <c r="I48" s="18"/>
      <c r="K48"/>
      <c r="M48" s="7" t="s">
        <v>32</v>
      </c>
      <c r="N48" s="7">
        <f>44209.1043/1000</f>
        <v>44.2091043</v>
      </c>
      <c r="O48" s="18"/>
    </row>
    <row r="49" spans="1:16" x14ac:dyDescent="0.25">
      <c r="E49"/>
      <c r="K49"/>
    </row>
    <row r="50" spans="1:16" ht="32.25" thickBot="1" x14ac:dyDescent="0.55000000000000004">
      <c r="A50" s="12" t="s">
        <v>37</v>
      </c>
      <c r="B50" s="13">
        <v>2</v>
      </c>
      <c r="E50"/>
      <c r="G50" s="12" t="s">
        <v>37</v>
      </c>
      <c r="H50" s="13">
        <v>2</v>
      </c>
      <c r="K50"/>
      <c r="M50" s="12" t="s">
        <v>37</v>
      </c>
      <c r="N50" s="13">
        <v>2</v>
      </c>
    </row>
    <row r="51" spans="1:16" ht="15.75" thickTop="1" x14ac:dyDescent="0.25">
      <c r="A51" s="7" t="s">
        <v>29</v>
      </c>
      <c r="B51" s="7">
        <f>72583.6585/1000</f>
        <v>72.583658499999999</v>
      </c>
      <c r="E51"/>
      <c r="G51" s="7" t="s">
        <v>29</v>
      </c>
      <c r="H51" s="7">
        <f>73507.8555/1000</f>
        <v>73.507855500000005</v>
      </c>
      <c r="K51"/>
      <c r="M51" s="7" t="s">
        <v>29</v>
      </c>
      <c r="N51" s="7">
        <f>59288.8295/1000</f>
        <v>59.288829499999999</v>
      </c>
    </row>
    <row r="52" spans="1:16" x14ac:dyDescent="0.25">
      <c r="A52" s="7" t="s">
        <v>30</v>
      </c>
      <c r="B52" s="7">
        <f>54367/1000</f>
        <v>54.366999999999997</v>
      </c>
      <c r="E52"/>
      <c r="G52" s="7" t="s">
        <v>30</v>
      </c>
      <c r="H52" s="7">
        <f>53476/1000</f>
        <v>53.475999999999999</v>
      </c>
      <c r="K52"/>
      <c r="M52" s="7" t="s">
        <v>30</v>
      </c>
      <c r="N52" s="7">
        <f>38090/1000</f>
        <v>38.090000000000003</v>
      </c>
    </row>
    <row r="53" spans="1:16" x14ac:dyDescent="0.25">
      <c r="A53" s="15">
        <f>75%</f>
        <v>0.75</v>
      </c>
      <c r="B53" s="7">
        <f xml:space="preserve"> 94623/1000</f>
        <v>94.623000000000005</v>
      </c>
      <c r="E53"/>
      <c r="G53" s="15">
        <f>75%</f>
        <v>0.75</v>
      </c>
      <c r="H53" s="7">
        <f>95086/1000</f>
        <v>95.085999999999999</v>
      </c>
      <c r="K53"/>
      <c r="M53" s="15">
        <f>75%</f>
        <v>0.75</v>
      </c>
      <c r="N53" s="7">
        <f>77146/1000</f>
        <v>77.146000000000001</v>
      </c>
    </row>
    <row r="54" spans="1:16" x14ac:dyDescent="0.25">
      <c r="A54" s="7" t="s">
        <v>31</v>
      </c>
      <c r="B54" s="7">
        <f>379732/1000</f>
        <v>379.73200000000003</v>
      </c>
      <c r="E54"/>
      <c r="G54" s="7" t="s">
        <v>31</v>
      </c>
      <c r="H54" s="7">
        <f>396559/1000</f>
        <v>396.55900000000003</v>
      </c>
      <c r="K54"/>
      <c r="M54" s="7" t="s">
        <v>31</v>
      </c>
      <c r="N54" s="7">
        <f>427311/1000</f>
        <v>427.31099999999998</v>
      </c>
    </row>
    <row r="55" spans="1:16" x14ac:dyDescent="0.25">
      <c r="A55" s="7" t="s">
        <v>32</v>
      </c>
      <c r="B55" s="7">
        <f>51241.7889/1000</f>
        <v>51.241788900000003</v>
      </c>
      <c r="E55"/>
      <c r="G55" s="7" t="s">
        <v>32</v>
      </c>
      <c r="H55" s="7">
        <f>56492.7798/1000</f>
        <v>56.492779799999994</v>
      </c>
      <c r="K55"/>
      <c r="M55" s="7" t="s">
        <v>32</v>
      </c>
      <c r="N55" s="7">
        <f>47575.9819/1000</f>
        <v>47.575981900000002</v>
      </c>
    </row>
    <row r="56" spans="1:16" x14ac:dyDescent="0.25">
      <c r="A56" s="19"/>
      <c r="B56" s="19"/>
      <c r="C56" s="19"/>
      <c r="D56" s="19"/>
      <c r="E56"/>
      <c r="G56" s="19"/>
      <c r="H56" s="19"/>
      <c r="I56" s="19"/>
      <c r="J56" s="19"/>
      <c r="K56"/>
      <c r="M56" s="19"/>
      <c r="N56" s="19"/>
      <c r="O56" s="19"/>
      <c r="P56" s="19"/>
    </row>
    <row r="57" spans="1:16" x14ac:dyDescent="0.25">
      <c r="A57" s="19"/>
      <c r="B57" s="19"/>
      <c r="C57" s="19"/>
      <c r="D57" s="19"/>
      <c r="E57"/>
      <c r="G57" s="19"/>
      <c r="H57" s="19"/>
      <c r="I57" s="19"/>
      <c r="J57" s="19"/>
      <c r="K57"/>
      <c r="M57" s="19"/>
      <c r="N57" s="19"/>
      <c r="O57" s="19"/>
      <c r="P57" s="19"/>
    </row>
    <row r="58" spans="1:16" x14ac:dyDescent="0.25">
      <c r="A58" s="19"/>
      <c r="B58" s="19"/>
      <c r="C58" s="19"/>
      <c r="D58" s="19"/>
      <c r="E58"/>
      <c r="G58" s="19"/>
      <c r="H58" s="19"/>
      <c r="I58" s="19"/>
      <c r="J58" s="19"/>
      <c r="K58"/>
      <c r="M58" s="19"/>
      <c r="N58" s="19"/>
      <c r="O58" s="19"/>
      <c r="P58" s="19"/>
    </row>
    <row r="59" spans="1:16" x14ac:dyDescent="0.25">
      <c r="B59" s="1" t="s">
        <v>1</v>
      </c>
      <c r="C59" s="1">
        <v>4</v>
      </c>
      <c r="E59"/>
      <c r="H59" s="1" t="s">
        <v>1</v>
      </c>
      <c r="I59" s="1">
        <v>4</v>
      </c>
      <c r="K59"/>
      <c r="N59" s="1" t="s">
        <v>1</v>
      </c>
      <c r="O59" s="1">
        <v>4</v>
      </c>
    </row>
    <row r="60" spans="1:16" x14ac:dyDescent="0.25">
      <c r="A60" s="2" t="s">
        <v>2</v>
      </c>
      <c r="B60" s="3">
        <f>D66*D61/C66</f>
        <v>0.3001070580947911</v>
      </c>
      <c r="C60" s="1" t="s">
        <v>3</v>
      </c>
      <c r="D60" s="4" t="s">
        <v>4</v>
      </c>
      <c r="E60"/>
      <c r="G60" s="2" t="s">
        <v>2</v>
      </c>
      <c r="H60" s="3">
        <f>J66*J61/I66</f>
        <v>0.6002141161895822</v>
      </c>
      <c r="I60" s="1" t="s">
        <v>3</v>
      </c>
      <c r="J60" s="4" t="s">
        <v>4</v>
      </c>
      <c r="K60"/>
      <c r="M60" s="2" t="s">
        <v>2</v>
      </c>
      <c r="N60" s="3">
        <f>P66*P61/O66</f>
        <v>0.6002141161895822</v>
      </c>
      <c r="O60" s="1" t="s">
        <v>3</v>
      </c>
      <c r="P60" s="4" t="s">
        <v>4</v>
      </c>
    </row>
    <row r="61" spans="1:16" x14ac:dyDescent="0.25">
      <c r="A61" s="2" t="s">
        <v>5</v>
      </c>
      <c r="B61" s="2">
        <f>POWER(2,C61)</f>
        <v>4096</v>
      </c>
      <c r="C61" s="1">
        <v>12</v>
      </c>
      <c r="D61" s="2">
        <f>B61/B62</f>
        <v>1.9221022993899577</v>
      </c>
      <c r="E61"/>
      <c r="G61" s="2" t="s">
        <v>5</v>
      </c>
      <c r="H61" s="2">
        <f>POWER(2,I61)</f>
        <v>4096</v>
      </c>
      <c r="I61" s="1">
        <v>12</v>
      </c>
      <c r="J61" s="2">
        <f>H61/H62</f>
        <v>1.9221022993899577</v>
      </c>
      <c r="K61"/>
      <c r="M61" s="2" t="s">
        <v>5</v>
      </c>
      <c r="N61" s="2">
        <f>POWER(2,O61)</f>
        <v>4096</v>
      </c>
      <c r="O61" s="1">
        <v>12</v>
      </c>
      <c r="P61" s="2">
        <f>N61/N62</f>
        <v>1.9221022993899577</v>
      </c>
    </row>
    <row r="62" spans="1:16" x14ac:dyDescent="0.25">
      <c r="A62" s="5" t="s">
        <v>6</v>
      </c>
      <c r="B62" s="5">
        <v>2131</v>
      </c>
      <c r="E62"/>
      <c r="G62" s="5" t="s">
        <v>6</v>
      </c>
      <c r="H62" s="5">
        <v>2131</v>
      </c>
      <c r="K62"/>
      <c r="M62" s="5" t="s">
        <v>6</v>
      </c>
      <c r="N62" s="5">
        <v>2131</v>
      </c>
    </row>
    <row r="63" spans="1:16" x14ac:dyDescent="0.25">
      <c r="A63" s="5" t="s">
        <v>7</v>
      </c>
      <c r="B63" s="5">
        <v>25</v>
      </c>
      <c r="E63"/>
      <c r="G63" s="5" t="s">
        <v>7</v>
      </c>
      <c r="H63" s="5">
        <v>25</v>
      </c>
      <c r="K63"/>
      <c r="M63" s="5" t="s">
        <v>7</v>
      </c>
      <c r="N63" s="5">
        <v>25</v>
      </c>
    </row>
    <row r="64" spans="1:16" x14ac:dyDescent="0.25">
      <c r="E64"/>
      <c r="K64"/>
    </row>
    <row r="65" spans="1:17" x14ac:dyDescent="0.25">
      <c r="A65" s="2" t="s">
        <v>8</v>
      </c>
      <c r="B65" s="1" t="s">
        <v>9</v>
      </c>
      <c r="C65" s="2" t="s">
        <v>10</v>
      </c>
      <c r="D65" s="1" t="s">
        <v>11</v>
      </c>
      <c r="E65"/>
      <c r="G65" s="2" t="s">
        <v>8</v>
      </c>
      <c r="H65" s="1" t="s">
        <v>9</v>
      </c>
      <c r="I65" s="2" t="s">
        <v>10</v>
      </c>
      <c r="J65" s="1" t="s">
        <v>11</v>
      </c>
      <c r="K65"/>
      <c r="M65" s="2" t="s">
        <v>8</v>
      </c>
      <c r="N65" s="1" t="s">
        <v>9</v>
      </c>
      <c r="O65" s="2" t="s">
        <v>10</v>
      </c>
      <c r="P65" s="24" t="s">
        <v>44</v>
      </c>
      <c r="Q65" s="24" t="s">
        <v>45</v>
      </c>
    </row>
    <row r="66" spans="1:17" x14ac:dyDescent="0.25">
      <c r="A66" s="2">
        <f>B60/(1-B60)*(D61+B66)/2/D61+D66/C66*(1+D61)/(1+D66/C66)</f>
        <v>1.9812328082050963</v>
      </c>
      <c r="B66" s="1">
        <v>12.302199999999999</v>
      </c>
      <c r="C66" s="6">
        <f>1/C67*1000</f>
        <v>12.809444146980688</v>
      </c>
      <c r="D66" s="1">
        <v>2</v>
      </c>
      <c r="E66"/>
      <c r="G66" s="2">
        <f>H60/(1-H60)*(J61+H66)/2/J61+J66/I66*(1+J61)/(1+J66/I66)</f>
        <v>6.2505929083061744</v>
      </c>
      <c r="H66" s="1">
        <v>12.302199999999999</v>
      </c>
      <c r="I66" s="6">
        <f>1/I67*1000</f>
        <v>12.809444146980688</v>
      </c>
      <c r="J66" s="1">
        <v>4</v>
      </c>
      <c r="K66"/>
      <c r="M66" s="2">
        <f>N60/(1-N60)*(P61+N66)/2/P61+P66/O66*(1+P61)/(1+P66/O66)</f>
        <v>6.2505929083061744</v>
      </c>
      <c r="N66" s="1">
        <v>12.302199999999999</v>
      </c>
      <c r="O66" s="6">
        <f>1/O67*1000</f>
        <v>12.809444146980688</v>
      </c>
      <c r="P66" s="24">
        <v>4</v>
      </c>
      <c r="Q66" s="24">
        <v>2</v>
      </c>
    </row>
    <row r="67" spans="1:17" x14ac:dyDescent="0.25">
      <c r="B67" s="1" t="s">
        <v>12</v>
      </c>
      <c r="C67" s="7">
        <f xml:space="preserve"> 78067.4/1000</f>
        <v>78.067399999999992</v>
      </c>
      <c r="E67"/>
      <c r="H67" s="1" t="s">
        <v>12</v>
      </c>
      <c r="I67" s="7">
        <f xml:space="preserve"> 78067.4/1000</f>
        <v>78.067399999999992</v>
      </c>
      <c r="K67"/>
      <c r="N67" s="1" t="s">
        <v>12</v>
      </c>
      <c r="O67" s="7">
        <f xml:space="preserve"> 78067.4/1000</f>
        <v>78.067399999999992</v>
      </c>
    </row>
    <row r="68" spans="1:17" x14ac:dyDescent="0.25">
      <c r="E68"/>
      <c r="K68"/>
    </row>
    <row r="69" spans="1:17" x14ac:dyDescent="0.25">
      <c r="A69" s="2" t="s">
        <v>13</v>
      </c>
      <c r="B69" s="2">
        <f>(C61+2)*C59</f>
        <v>56</v>
      </c>
      <c r="E69"/>
      <c r="G69" s="2" t="s">
        <v>13</v>
      </c>
      <c r="H69" s="2">
        <f>(I61+2)*I59</f>
        <v>56</v>
      </c>
      <c r="K69"/>
      <c r="M69" s="2" t="s">
        <v>13</v>
      </c>
      <c r="N69" s="2">
        <f>(O61+2)*O59</f>
        <v>56</v>
      </c>
    </row>
    <row r="70" spans="1:17" x14ac:dyDescent="0.25">
      <c r="C70" s="1" t="s">
        <v>14</v>
      </c>
      <c r="D70" s="1">
        <v>102</v>
      </c>
      <c r="E70"/>
      <c r="I70" s="1" t="s">
        <v>14</v>
      </c>
      <c r="J70" s="1">
        <v>102</v>
      </c>
      <c r="K70"/>
      <c r="O70" s="1" t="s">
        <v>14</v>
      </c>
      <c r="P70" s="1">
        <v>102</v>
      </c>
    </row>
    <row r="71" spans="1:17" x14ac:dyDescent="0.25">
      <c r="A71" s="1" t="s">
        <v>15</v>
      </c>
      <c r="B71" s="1">
        <v>29</v>
      </c>
      <c r="D71" t="s">
        <v>16</v>
      </c>
      <c r="E71"/>
      <c r="G71" s="1" t="s">
        <v>15</v>
      </c>
      <c r="H71" s="1">
        <v>29</v>
      </c>
      <c r="J71" t="s">
        <v>16</v>
      </c>
      <c r="K71"/>
      <c r="M71" s="1" t="s">
        <v>15</v>
      </c>
      <c r="N71" s="1">
        <v>29</v>
      </c>
      <c r="P71" t="s">
        <v>16</v>
      </c>
    </row>
    <row r="72" spans="1:17" x14ac:dyDescent="0.25">
      <c r="E72"/>
      <c r="K72"/>
    </row>
    <row r="73" spans="1:17" x14ac:dyDescent="0.25">
      <c r="A73" s="7" t="s">
        <v>17</v>
      </c>
      <c r="B73" s="2" t="s">
        <v>18</v>
      </c>
      <c r="C73" s="7" t="s">
        <v>19</v>
      </c>
      <c r="E73"/>
      <c r="G73" s="7" t="s">
        <v>17</v>
      </c>
      <c r="H73" s="2" t="s">
        <v>18</v>
      </c>
      <c r="I73" s="7" t="s">
        <v>19</v>
      </c>
      <c r="K73"/>
      <c r="M73" s="7" t="s">
        <v>17</v>
      </c>
      <c r="N73" s="2" t="s">
        <v>18</v>
      </c>
      <c r="O73" s="7" t="s">
        <v>19</v>
      </c>
    </row>
    <row r="74" spans="1:17" x14ac:dyDescent="0.25">
      <c r="A74" s="16">
        <f>SUM(B97:B98)</f>
        <v>5002</v>
      </c>
      <c r="B74" s="8">
        <f>A74+C74</f>
        <v>11798</v>
      </c>
      <c r="C74" s="7">
        <v>6796</v>
      </c>
      <c r="E74"/>
      <c r="G74" s="16">
        <f>SUM(H97:H98)</f>
        <v>3952</v>
      </c>
      <c r="H74" s="8">
        <f>G74+I74</f>
        <v>3984</v>
      </c>
      <c r="I74" s="7">
        <v>32</v>
      </c>
      <c r="K74"/>
      <c r="M74" s="16">
        <f>SUM(N97:N98)</f>
        <v>5004</v>
      </c>
      <c r="N74" s="8">
        <f>M74+O74</f>
        <v>6235</v>
      </c>
      <c r="O74" s="7">
        <v>1231</v>
      </c>
    </row>
    <row r="75" spans="1:17" x14ac:dyDescent="0.25">
      <c r="A75" s="2" t="s">
        <v>42</v>
      </c>
      <c r="B75" s="8" t="s">
        <v>21</v>
      </c>
      <c r="C75" s="8" t="s">
        <v>22</v>
      </c>
      <c r="E75"/>
      <c r="G75" s="2" t="s">
        <v>42</v>
      </c>
      <c r="H75" s="8" t="s">
        <v>21</v>
      </c>
      <c r="I75" s="8" t="s">
        <v>22</v>
      </c>
      <c r="K75"/>
      <c r="M75" s="2" t="s">
        <v>42</v>
      </c>
      <c r="N75" s="8" t="s">
        <v>21</v>
      </c>
      <c r="O75" s="8" t="s">
        <v>22</v>
      </c>
    </row>
    <row r="76" spans="1:17" x14ac:dyDescent="0.25">
      <c r="A76" s="8">
        <f>A74*B69</f>
        <v>280112</v>
      </c>
      <c r="B76" s="9">
        <f>B74*B69</f>
        <v>660688</v>
      </c>
      <c r="C76" s="8">
        <f>C74*B69</f>
        <v>380576</v>
      </c>
      <c r="E76"/>
      <c r="G76" s="8">
        <f>G74*H69</f>
        <v>221312</v>
      </c>
      <c r="H76" s="9">
        <f>H74*H69</f>
        <v>223104</v>
      </c>
      <c r="I76" s="8">
        <f>I74*H69</f>
        <v>1792</v>
      </c>
      <c r="K76"/>
      <c r="M76" s="8">
        <f>M74*N69</f>
        <v>280224</v>
      </c>
      <c r="N76" s="9">
        <f>N74*N69</f>
        <v>349160</v>
      </c>
      <c r="O76" s="8">
        <f>O74*N69</f>
        <v>68936</v>
      </c>
    </row>
    <row r="77" spans="1:17" x14ac:dyDescent="0.25">
      <c r="E77"/>
      <c r="K77"/>
    </row>
    <row r="78" spans="1:17" x14ac:dyDescent="0.25">
      <c r="A78" s="2" t="s">
        <v>23</v>
      </c>
      <c r="B78" s="2">
        <f>B71*B69/1024</f>
        <v>1.5859375</v>
      </c>
      <c r="E78"/>
      <c r="G78" s="2" t="s">
        <v>23</v>
      </c>
      <c r="H78" s="2">
        <f>H71*H69/1024</f>
        <v>1.5859375</v>
      </c>
      <c r="K78"/>
      <c r="M78" s="2" t="s">
        <v>23</v>
      </c>
      <c r="N78" s="2">
        <f>N71*N69/1024</f>
        <v>1.5859375</v>
      </c>
    </row>
    <row r="79" spans="1:17" x14ac:dyDescent="0.25">
      <c r="A79" s="2" t="s">
        <v>24</v>
      </c>
      <c r="B79" s="10">
        <f>(B71*B76+B74*D70*1024)/POWER(1024, 3)</f>
        <v>1.1654919534921646</v>
      </c>
      <c r="C79" s="8" t="s">
        <v>25</v>
      </c>
      <c r="D79" s="8">
        <f>B79/A74*POWER(1024,2)</f>
        <v>244.3236486655338</v>
      </c>
      <c r="E79"/>
      <c r="G79" s="2" t="s">
        <v>24</v>
      </c>
      <c r="H79" s="10">
        <f>(H71*H76+H74*J70*1024)/POWER(1024, 3)</f>
        <v>0.39356839656829834</v>
      </c>
      <c r="I79" s="8" t="s">
        <v>25</v>
      </c>
      <c r="J79" s="8">
        <f>H79/G74*POWER(1024,2)</f>
        <v>104.42469003036437</v>
      </c>
      <c r="K79"/>
      <c r="M79" s="2" t="s">
        <v>24</v>
      </c>
      <c r="N79" s="10">
        <f>(N71*N76+N74*P70*1024)/POWER(1024, 3)</f>
        <v>0.61593849211931229</v>
      </c>
      <c r="O79" s="8" t="s">
        <v>25</v>
      </c>
      <c r="P79" s="8">
        <f>N79/M74*POWER(1024,2)</f>
        <v>129.06840933503199</v>
      </c>
    </row>
    <row r="80" spans="1:17" x14ac:dyDescent="0.25">
      <c r="A80" s="2" t="s">
        <v>26</v>
      </c>
      <c r="B80" s="11">
        <f>C76/A76</f>
        <v>1.3586565373850459</v>
      </c>
      <c r="E80"/>
      <c r="G80" s="2" t="s">
        <v>26</v>
      </c>
      <c r="H80" s="11">
        <f>I76/G76</f>
        <v>8.0971659919028341E-3</v>
      </c>
      <c r="K80"/>
      <c r="M80" s="2" t="s">
        <v>26</v>
      </c>
      <c r="N80" s="11">
        <f>O76/M76</f>
        <v>0.24600319744204635</v>
      </c>
    </row>
    <row r="81" spans="1:15" x14ac:dyDescent="0.25">
      <c r="E81"/>
      <c r="K81"/>
    </row>
    <row r="82" spans="1:15" ht="32.25" thickBot="1" x14ac:dyDescent="0.55000000000000004">
      <c r="A82" s="12" t="s">
        <v>27</v>
      </c>
      <c r="B82" s="13">
        <v>1</v>
      </c>
      <c r="C82" s="2" t="s">
        <v>28</v>
      </c>
      <c r="E82"/>
      <c r="G82" s="12" t="s">
        <v>27</v>
      </c>
      <c r="H82" s="13">
        <v>1</v>
      </c>
      <c r="I82" s="2" t="s">
        <v>28</v>
      </c>
      <c r="K82"/>
      <c r="M82" s="12" t="s">
        <v>27</v>
      </c>
      <c r="N82" s="13">
        <v>1</v>
      </c>
      <c r="O82" s="2" t="s">
        <v>28</v>
      </c>
    </row>
    <row r="83" spans="1:15" ht="15.75" thickTop="1" x14ac:dyDescent="0.25">
      <c r="A83" s="7" t="s">
        <v>29</v>
      </c>
      <c r="B83" s="7">
        <v>2.9479000000000002</v>
      </c>
      <c r="C83" s="14">
        <f>B83/B$61</f>
        <v>7.1970214843750005E-4</v>
      </c>
      <c r="E83"/>
      <c r="G83" s="7" t="s">
        <v>29</v>
      </c>
      <c r="H83" s="7">
        <v>533.93780000000004</v>
      </c>
      <c r="I83" s="14">
        <f>H83/H$61</f>
        <v>0.13035590820312501</v>
      </c>
      <c r="K83"/>
      <c r="M83" s="7" t="s">
        <v>29</v>
      </c>
      <c r="N83" s="7">
        <v>12.934100000000001</v>
      </c>
      <c r="O83" s="14">
        <f>N83/N$61</f>
        <v>3.1577392578125002E-3</v>
      </c>
    </row>
    <row r="84" spans="1:15" x14ac:dyDescent="0.25">
      <c r="A84" s="7" t="s">
        <v>30</v>
      </c>
      <c r="B84" s="7">
        <v>0</v>
      </c>
      <c r="C84" s="14">
        <f t="shared" ref="C84:C87" si="6">B84/B$61</f>
        <v>0</v>
      </c>
      <c r="E84"/>
      <c r="G84" s="7" t="s">
        <v>30</v>
      </c>
      <c r="H84" s="7">
        <v>575</v>
      </c>
      <c r="I84" s="14">
        <f t="shared" ref="I84:I87" si="7">H84/H$61</f>
        <v>0.140380859375</v>
      </c>
      <c r="K84"/>
      <c r="M84" s="7" t="s">
        <v>30</v>
      </c>
      <c r="N84" s="7">
        <v>9</v>
      </c>
      <c r="O84" s="14">
        <f t="shared" ref="O84:O87" si="8">N84/N$61</f>
        <v>2.197265625E-3</v>
      </c>
    </row>
    <row r="85" spans="1:15" x14ac:dyDescent="0.25">
      <c r="A85" s="15">
        <v>0.75</v>
      </c>
      <c r="B85" s="7">
        <v>3</v>
      </c>
      <c r="C85" s="14">
        <f t="shared" si="6"/>
        <v>7.32421875E-4</v>
      </c>
      <c r="E85"/>
      <c r="G85" s="15">
        <v>0.75</v>
      </c>
      <c r="H85" s="7">
        <v>713.75300000000004</v>
      </c>
      <c r="I85" s="14">
        <f t="shared" si="7"/>
        <v>0.17425610351562501</v>
      </c>
      <c r="K85"/>
      <c r="M85" s="15">
        <v>0.75</v>
      </c>
      <c r="N85" s="7">
        <v>20</v>
      </c>
      <c r="O85" s="14">
        <f t="shared" si="8"/>
        <v>4.8828125E-3</v>
      </c>
    </row>
    <row r="86" spans="1:15" x14ac:dyDescent="0.25">
      <c r="A86" s="7" t="s">
        <v>31</v>
      </c>
      <c r="B86" s="7">
        <v>49</v>
      </c>
      <c r="C86" s="14">
        <f t="shared" si="6"/>
        <v>1.1962890625E-2</v>
      </c>
      <c r="E86"/>
      <c r="G86" s="7" t="s">
        <v>31</v>
      </c>
      <c r="H86" s="7">
        <v>1079</v>
      </c>
      <c r="I86" s="14">
        <f t="shared" si="7"/>
        <v>0.263427734375</v>
      </c>
      <c r="K86"/>
      <c r="M86" s="7" t="s">
        <v>31</v>
      </c>
      <c r="N86" s="7">
        <v>69</v>
      </c>
      <c r="O86" s="14">
        <f t="shared" si="8"/>
        <v>1.6845703125E-2</v>
      </c>
    </row>
    <row r="87" spans="1:15" x14ac:dyDescent="0.25">
      <c r="A87" s="7" t="s">
        <v>32</v>
      </c>
      <c r="B87" s="7">
        <v>5.7176999999999998</v>
      </c>
      <c r="C87" s="14">
        <f t="shared" si="6"/>
        <v>1.3959228515624999E-3</v>
      </c>
      <c r="E87"/>
      <c r="G87" s="7" t="s">
        <v>32</v>
      </c>
      <c r="H87" s="7">
        <v>287.16449999999998</v>
      </c>
      <c r="I87" s="14">
        <f t="shared" si="7"/>
        <v>7.0108520507812494E-2</v>
      </c>
      <c r="K87"/>
      <c r="M87" s="7" t="s">
        <v>32</v>
      </c>
      <c r="N87" s="7">
        <v>13.5799</v>
      </c>
      <c r="O87" s="14">
        <f t="shared" si="8"/>
        <v>3.3154052734375001E-3</v>
      </c>
    </row>
    <row r="88" spans="1:15" x14ac:dyDescent="0.25">
      <c r="E88"/>
      <c r="K88"/>
    </row>
    <row r="89" spans="1:15" ht="32.25" thickBot="1" x14ac:dyDescent="0.55000000000000004">
      <c r="A89" s="12" t="s">
        <v>27</v>
      </c>
      <c r="B89" s="13">
        <v>2</v>
      </c>
      <c r="C89" s="2" t="s">
        <v>28</v>
      </c>
      <c r="E89"/>
      <c r="G89" s="12" t="s">
        <v>27</v>
      </c>
      <c r="H89" s="13">
        <v>2</v>
      </c>
      <c r="I89" s="2" t="s">
        <v>28</v>
      </c>
      <c r="K89"/>
      <c r="M89" s="12" t="s">
        <v>27</v>
      </c>
      <c r="N89" s="13">
        <v>2</v>
      </c>
      <c r="O89" s="2" t="s">
        <v>28</v>
      </c>
    </row>
    <row r="90" spans="1:15" ht="15.75" thickTop="1" x14ac:dyDescent="0.25">
      <c r="A90" s="7" t="s">
        <v>29</v>
      </c>
      <c r="B90" s="7">
        <v>2.5297999999999998</v>
      </c>
      <c r="C90" s="14">
        <f>B90/B$61</f>
        <v>6.1762695312499996E-4</v>
      </c>
      <c r="E90"/>
      <c r="G90" s="7" t="s">
        <v>29</v>
      </c>
      <c r="H90" s="7">
        <v>529.12689999999998</v>
      </c>
      <c r="I90" s="14">
        <f>H90/H$61</f>
        <v>0.12918137207031249</v>
      </c>
      <c r="K90"/>
      <c r="M90" s="7" t="s">
        <v>29</v>
      </c>
      <c r="N90" s="7">
        <v>5.7663000000000002</v>
      </c>
      <c r="O90" s="14">
        <f>N90/N$61</f>
        <v>1.4077880859375E-3</v>
      </c>
    </row>
    <row r="91" spans="1:15" x14ac:dyDescent="0.25">
      <c r="A91" s="7" t="s">
        <v>30</v>
      </c>
      <c r="B91" s="7">
        <v>0</v>
      </c>
      <c r="C91" s="14">
        <f t="shared" ref="C91:C94" si="9">B91/B$61</f>
        <v>0</v>
      </c>
      <c r="E91"/>
      <c r="G91" s="7" t="s">
        <v>30</v>
      </c>
      <c r="H91" s="7">
        <v>516</v>
      </c>
      <c r="I91" s="14">
        <f t="shared" ref="I91:I94" si="10">H91/H$61</f>
        <v>0.1259765625</v>
      </c>
      <c r="K91"/>
      <c r="M91" s="7" t="s">
        <v>30</v>
      </c>
      <c r="N91" s="7">
        <v>3</v>
      </c>
      <c r="O91" s="14">
        <f t="shared" ref="O91:O94" si="11">N91/N$61</f>
        <v>7.32421875E-4</v>
      </c>
    </row>
    <row r="92" spans="1:15" x14ac:dyDescent="0.25">
      <c r="A92" s="15">
        <v>0.75</v>
      </c>
      <c r="B92" s="7">
        <v>3</v>
      </c>
      <c r="C92" s="14">
        <f t="shared" si="9"/>
        <v>7.32421875E-4</v>
      </c>
      <c r="E92"/>
      <c r="G92" s="15">
        <v>0.75</v>
      </c>
      <c r="H92" s="7">
        <v>746</v>
      </c>
      <c r="I92" s="14">
        <f t="shared" si="10"/>
        <v>0.18212890625</v>
      </c>
      <c r="K92"/>
      <c r="M92" s="15">
        <v>0.75</v>
      </c>
      <c r="N92" s="7">
        <v>9</v>
      </c>
      <c r="O92" s="14">
        <f t="shared" si="11"/>
        <v>2.197265625E-3</v>
      </c>
    </row>
    <row r="93" spans="1:15" x14ac:dyDescent="0.25">
      <c r="A93" s="7" t="s">
        <v>31</v>
      </c>
      <c r="B93" s="7">
        <v>46</v>
      </c>
      <c r="C93" s="14">
        <f t="shared" si="9"/>
        <v>1.123046875E-2</v>
      </c>
      <c r="E93"/>
      <c r="G93" s="7" t="s">
        <v>31</v>
      </c>
      <c r="H93" s="7">
        <v>965</v>
      </c>
      <c r="I93" s="14">
        <f t="shared" si="10"/>
        <v>0.235595703125</v>
      </c>
      <c r="K93"/>
      <c r="M93" s="7" t="s">
        <v>31</v>
      </c>
      <c r="N93" s="7">
        <v>42</v>
      </c>
      <c r="O93" s="14">
        <f t="shared" si="11"/>
        <v>1.025390625E-2</v>
      </c>
    </row>
    <row r="94" spans="1:15" x14ac:dyDescent="0.25">
      <c r="A94" s="7" t="s">
        <v>32</v>
      </c>
      <c r="B94" s="7">
        <v>5.0784000000000002</v>
      </c>
      <c r="C94" s="14">
        <f t="shared" si="9"/>
        <v>1.2398437500000001E-3</v>
      </c>
      <c r="E94"/>
      <c r="G94" s="7" t="s">
        <v>32</v>
      </c>
      <c r="H94" s="7">
        <v>268.68729999999999</v>
      </c>
      <c r="I94" s="14">
        <f t="shared" si="10"/>
        <v>6.5597485351562498E-2</v>
      </c>
      <c r="K94"/>
      <c r="M94" s="7" t="s">
        <v>32</v>
      </c>
      <c r="N94" s="7">
        <v>7.0195999999999996</v>
      </c>
      <c r="O94" s="14">
        <f t="shared" si="11"/>
        <v>1.7137695312499999E-3</v>
      </c>
    </row>
    <row r="95" spans="1:15" x14ac:dyDescent="0.25">
      <c r="E95"/>
      <c r="K95"/>
    </row>
    <row r="96" spans="1:15" x14ac:dyDescent="0.25">
      <c r="A96" s="1" t="s">
        <v>33</v>
      </c>
      <c r="B96" s="7" t="s">
        <v>34</v>
      </c>
      <c r="C96" s="2" t="s">
        <v>35</v>
      </c>
      <c r="E96"/>
      <c r="G96" s="1" t="s">
        <v>33</v>
      </c>
      <c r="H96" s="7" t="s">
        <v>34</v>
      </c>
      <c r="I96" s="2" t="s">
        <v>35</v>
      </c>
      <c r="K96"/>
      <c r="M96" s="1" t="s">
        <v>33</v>
      </c>
      <c r="N96" s="7" t="s">
        <v>34</v>
      </c>
      <c r="O96" s="2" t="s">
        <v>35</v>
      </c>
    </row>
    <row r="97" spans="1:16" x14ac:dyDescent="0.25">
      <c r="A97" s="1">
        <v>2501</v>
      </c>
      <c r="B97" s="16">
        <v>2501</v>
      </c>
      <c r="C97" s="17">
        <f>B97/A97</f>
        <v>1</v>
      </c>
      <c r="E97"/>
      <c r="G97" s="1">
        <v>2500</v>
      </c>
      <c r="H97" s="16">
        <v>1976</v>
      </c>
      <c r="I97" s="17">
        <f>H97/G97</f>
        <v>0.79039999999999999</v>
      </c>
      <c r="K97"/>
      <c r="M97" s="1"/>
      <c r="N97" s="16">
        <v>3354</v>
      </c>
      <c r="O97" s="17" t="e">
        <f>N97/M97</f>
        <v>#DIV/0!</v>
      </c>
    </row>
    <row r="98" spans="1:16" x14ac:dyDescent="0.25">
      <c r="A98" s="1">
        <v>2501</v>
      </c>
      <c r="B98" s="16">
        <v>2501</v>
      </c>
      <c r="C98" s="17">
        <f>B98/A98</f>
        <v>1</v>
      </c>
      <c r="E98"/>
      <c r="G98" s="1">
        <v>2500</v>
      </c>
      <c r="H98" s="16">
        <v>1976</v>
      </c>
      <c r="I98" s="17">
        <f>H98/G98</f>
        <v>0.79039999999999999</v>
      </c>
      <c r="K98"/>
      <c r="M98" s="1"/>
      <c r="N98" s="16">
        <v>1650</v>
      </c>
      <c r="O98" s="17" t="e">
        <f>N98/M98</f>
        <v>#DIV/0!</v>
      </c>
    </row>
    <row r="99" spans="1:16" ht="32.25" thickBot="1" x14ac:dyDescent="0.55000000000000004">
      <c r="A99" s="12" t="s">
        <v>36</v>
      </c>
      <c r="B99" s="13">
        <v>1</v>
      </c>
      <c r="E99"/>
      <c r="G99" s="12" t="s">
        <v>36</v>
      </c>
      <c r="H99" s="13">
        <v>1</v>
      </c>
      <c r="K99"/>
      <c r="M99" s="12" t="s">
        <v>36</v>
      </c>
      <c r="N99" s="13">
        <v>1</v>
      </c>
    </row>
    <row r="100" spans="1:16" ht="15.75" thickTop="1" x14ac:dyDescent="0.25">
      <c r="A100" s="7" t="s">
        <v>29</v>
      </c>
      <c r="B100" s="7">
        <f>1066285.6332/1000</f>
        <v>1066.2856332000001</v>
      </c>
      <c r="E100"/>
      <c r="G100" s="7" t="s">
        <v>29</v>
      </c>
      <c r="H100" s="7">
        <f>67122057.4515/1000</f>
        <v>67122.057451500004</v>
      </c>
      <c r="K100"/>
      <c r="M100" s="7" t="s">
        <v>29</v>
      </c>
      <c r="N100" s="7">
        <f>1992522.0317/1000</f>
        <v>1992.5220316999998</v>
      </c>
    </row>
    <row r="101" spans="1:16" x14ac:dyDescent="0.25">
      <c r="A101" s="7" t="s">
        <v>30</v>
      </c>
      <c r="B101" s="7">
        <f>713855/1000</f>
        <v>713.85500000000002</v>
      </c>
      <c r="E101"/>
      <c r="G101" s="7" t="s">
        <v>30</v>
      </c>
      <c r="H101" s="7">
        <f>73303443/1000</f>
        <v>73303.442999999999</v>
      </c>
      <c r="K101"/>
      <c r="M101" s="7" t="s">
        <v>30</v>
      </c>
      <c r="N101" s="7">
        <f>1840946/1000</f>
        <v>1840.9459999999999</v>
      </c>
    </row>
    <row r="102" spans="1:16" x14ac:dyDescent="0.25">
      <c r="A102" s="15">
        <f>75%</f>
        <v>0.75</v>
      </c>
      <c r="B102" s="7">
        <f>1624165/1000</f>
        <v>1624.165</v>
      </c>
      <c r="C102" s="18"/>
      <c r="E102"/>
      <c r="G102" s="15">
        <f>75%</f>
        <v>0.75</v>
      </c>
      <c r="H102" s="7">
        <f>92219984/1000</f>
        <v>92219.983999999997</v>
      </c>
      <c r="I102" s="18"/>
      <c r="K102"/>
      <c r="M102" s="15">
        <f>75%</f>
        <v>0.75</v>
      </c>
      <c r="N102" s="7">
        <f>2920602/1000</f>
        <v>2920.6019999999999</v>
      </c>
      <c r="O102" s="18"/>
    </row>
    <row r="103" spans="1:16" x14ac:dyDescent="0.25">
      <c r="A103" s="7" t="s">
        <v>31</v>
      </c>
      <c r="B103" s="7">
        <f>4928233/1000</f>
        <v>4928.2330000000002</v>
      </c>
      <c r="C103" s="18"/>
      <c r="E103"/>
      <c r="G103" s="7" t="s">
        <v>31</v>
      </c>
      <c r="H103" s="7">
        <f>126168265/1000</f>
        <v>126168.265</v>
      </c>
      <c r="I103" s="18"/>
      <c r="K103"/>
      <c r="M103" s="7" t="s">
        <v>31</v>
      </c>
      <c r="N103" s="7">
        <f>6426305/1000</f>
        <v>6426.3050000000003</v>
      </c>
      <c r="O103" s="18"/>
    </row>
    <row r="104" spans="1:16" x14ac:dyDescent="0.25">
      <c r="A104" s="7" t="s">
        <v>32</v>
      </c>
      <c r="B104" s="7">
        <f>938359.6789/1000</f>
        <v>938.35967890000006</v>
      </c>
      <c r="C104" s="18"/>
      <c r="E104"/>
      <c r="G104" s="7" t="s">
        <v>32</v>
      </c>
      <c r="H104" s="7">
        <f>33835750.5325/1000</f>
        <v>33835.750532500002</v>
      </c>
      <c r="I104" s="18"/>
      <c r="K104"/>
      <c r="M104" s="7" t="s">
        <v>32</v>
      </c>
      <c r="N104" s="7">
        <f>1435452.9988/1000</f>
        <v>1435.4529987999999</v>
      </c>
      <c r="O104" s="18"/>
    </row>
    <row r="105" spans="1:16" x14ac:dyDescent="0.25">
      <c r="E105"/>
      <c r="K105"/>
    </row>
    <row r="106" spans="1:16" ht="32.25" thickBot="1" x14ac:dyDescent="0.55000000000000004">
      <c r="A106" s="12" t="s">
        <v>37</v>
      </c>
      <c r="B106" s="13">
        <v>2</v>
      </c>
      <c r="E106"/>
      <c r="G106" s="12" t="s">
        <v>37</v>
      </c>
      <c r="H106" s="13">
        <v>2</v>
      </c>
      <c r="K106"/>
      <c r="M106" s="12" t="s">
        <v>37</v>
      </c>
      <c r="N106" s="13">
        <v>2</v>
      </c>
    </row>
    <row r="107" spans="1:16" ht="15.75" thickTop="1" x14ac:dyDescent="0.25">
      <c r="A107" s="7" t="s">
        <v>29</v>
      </c>
      <c r="B107" s="7">
        <f>966509.3875/1000</f>
        <v>966.5093875</v>
      </c>
      <c r="E107"/>
      <c r="G107" s="7" t="s">
        <v>29</v>
      </c>
      <c r="H107" s="7">
        <f>66432298.4103/1000</f>
        <v>66432.298410300005</v>
      </c>
      <c r="K107"/>
      <c r="M107" s="7" t="s">
        <v>29</v>
      </c>
      <c r="N107" s="7">
        <f>1879010.5957/1000</f>
        <v>1879.0105956999998</v>
      </c>
    </row>
    <row r="108" spans="1:16" x14ac:dyDescent="0.25">
      <c r="A108" s="7" t="s">
        <v>30</v>
      </c>
      <c r="B108" s="7">
        <f>624626/1000</f>
        <v>624.62599999999998</v>
      </c>
      <c r="E108"/>
      <c r="G108" s="7" t="s">
        <v>30</v>
      </c>
      <c r="H108" s="7">
        <f>71984830/1000</f>
        <v>71984.83</v>
      </c>
      <c r="K108"/>
      <c r="M108" s="7" t="s">
        <v>30</v>
      </c>
      <c r="N108" s="7">
        <f>1644536/1000</f>
        <v>1644.5360000000001</v>
      </c>
    </row>
    <row r="109" spans="1:16" x14ac:dyDescent="0.25">
      <c r="A109" s="15">
        <f>75%</f>
        <v>0.75</v>
      </c>
      <c r="B109" s="7">
        <f>1515412/1000</f>
        <v>1515.412</v>
      </c>
      <c r="E109"/>
      <c r="G109" s="15">
        <f>75%</f>
        <v>0.75</v>
      </c>
      <c r="H109" s="7">
        <f>90912669/1000</f>
        <v>90912.668999999994</v>
      </c>
      <c r="K109"/>
      <c r="M109" s="15">
        <f>75%</f>
        <v>0.75</v>
      </c>
      <c r="N109" s="7">
        <f>2789733/1000</f>
        <v>2789.7330000000002</v>
      </c>
    </row>
    <row r="110" spans="1:16" x14ac:dyDescent="0.25">
      <c r="A110" s="7" t="s">
        <v>31</v>
      </c>
      <c r="B110" s="7">
        <f>4620687/1000</f>
        <v>4620.6869999999999</v>
      </c>
      <c r="E110"/>
      <c r="G110" s="7" t="s">
        <v>31</v>
      </c>
      <c r="H110" s="7">
        <f>126322331/1000</f>
        <v>126322.33100000001</v>
      </c>
      <c r="K110"/>
      <c r="M110" s="7" t="s">
        <v>31</v>
      </c>
      <c r="N110" s="7">
        <f>6144572/1000</f>
        <v>6144.5720000000001</v>
      </c>
    </row>
    <row r="111" spans="1:16" x14ac:dyDescent="0.25">
      <c r="A111" s="7" t="s">
        <v>32</v>
      </c>
      <c r="B111" s="7">
        <f>899089.6053/1000</f>
        <v>899.08960530000002</v>
      </c>
      <c r="E111"/>
      <c r="G111" s="7" t="s">
        <v>32</v>
      </c>
      <c r="H111" s="7">
        <f>34324652.5918/1000</f>
        <v>34324.652591799997</v>
      </c>
      <c r="K111"/>
      <c r="M111" s="7" t="s">
        <v>32</v>
      </c>
      <c r="N111" s="7">
        <f>1431167.3214/1000</f>
        <v>1431.1673214</v>
      </c>
    </row>
    <row r="112" spans="1:16" x14ac:dyDescent="0.25">
      <c r="A112" s="19"/>
      <c r="B112" s="19"/>
      <c r="C112" s="19"/>
      <c r="D112" s="19"/>
      <c r="E112"/>
      <c r="G112" s="19"/>
      <c r="H112" s="19"/>
      <c r="I112" s="19"/>
      <c r="J112" s="19"/>
      <c r="K112"/>
      <c r="M112" s="19"/>
      <c r="N112" s="19"/>
      <c r="O112" s="19"/>
      <c r="P112" s="19"/>
    </row>
    <row r="113" spans="1:17" x14ac:dyDescent="0.25">
      <c r="A113" s="19"/>
      <c r="B113" s="19"/>
      <c r="C113" s="19"/>
      <c r="D113" s="19"/>
      <c r="E113"/>
      <c r="G113" s="19"/>
      <c r="H113" s="19"/>
      <c r="I113" s="19"/>
      <c r="J113" s="19"/>
      <c r="K113"/>
      <c r="M113" s="19"/>
      <c r="N113" s="19"/>
      <c r="O113" s="19"/>
      <c r="P113" s="19"/>
    </row>
    <row r="114" spans="1:17" x14ac:dyDescent="0.25">
      <c r="A114" s="19"/>
      <c r="B114" s="19"/>
      <c r="C114" s="19"/>
      <c r="D114" s="19"/>
      <c r="E114"/>
      <c r="G114" s="19"/>
      <c r="H114" s="19"/>
      <c r="I114" s="19"/>
      <c r="J114" s="19"/>
      <c r="K114"/>
      <c r="M114" s="19"/>
      <c r="N114" s="19"/>
      <c r="O114" s="19"/>
      <c r="P114" s="19"/>
    </row>
    <row r="115" spans="1:17" x14ac:dyDescent="0.25">
      <c r="B115" s="1" t="s">
        <v>1</v>
      </c>
      <c r="C115" s="1">
        <v>4</v>
      </c>
      <c r="E115"/>
      <c r="H115" s="1" t="s">
        <v>1</v>
      </c>
      <c r="I115" s="1">
        <v>4</v>
      </c>
      <c r="K115"/>
      <c r="N115" s="1" t="s">
        <v>1</v>
      </c>
      <c r="O115" s="1">
        <v>4</v>
      </c>
    </row>
    <row r="116" spans="1:17" x14ac:dyDescent="0.25">
      <c r="A116" s="2" t="s">
        <v>2</v>
      </c>
      <c r="B116" s="3">
        <f>D122*D117/C122</f>
        <v>1.6367705357715752</v>
      </c>
      <c r="C116" s="1" t="s">
        <v>3</v>
      </c>
      <c r="D116" s="4" t="s">
        <v>4</v>
      </c>
      <c r="E116"/>
      <c r="G116" s="2" t="s">
        <v>2</v>
      </c>
      <c r="H116" s="3">
        <f>J122*J117/I122</f>
        <v>3.2735410715431503</v>
      </c>
      <c r="I116" s="1" t="s">
        <v>3</v>
      </c>
      <c r="J116" s="4" t="s">
        <v>4</v>
      </c>
      <c r="K116"/>
      <c r="M116" s="2" t="s">
        <v>2</v>
      </c>
      <c r="N116" s="3">
        <f>P122*P117/O122</f>
        <v>3.2735410715431503</v>
      </c>
      <c r="O116" s="1" t="s">
        <v>3</v>
      </c>
      <c r="P116" s="4" t="s">
        <v>4</v>
      </c>
    </row>
    <row r="117" spans="1:17" x14ac:dyDescent="0.25">
      <c r="A117" s="2" t="s">
        <v>5</v>
      </c>
      <c r="B117" s="2">
        <f>POWER(2,C117)</f>
        <v>16384</v>
      </c>
      <c r="C117" s="1">
        <v>14</v>
      </c>
      <c r="D117" s="2">
        <f>B117/B118</f>
        <v>2.6281681103625281</v>
      </c>
      <c r="E117"/>
      <c r="G117" s="2" t="s">
        <v>5</v>
      </c>
      <c r="H117" s="2">
        <f>POWER(2,I117)</f>
        <v>16384</v>
      </c>
      <c r="I117" s="1">
        <v>14</v>
      </c>
      <c r="J117" s="2">
        <f>H117/H118</f>
        <v>2.6281681103625281</v>
      </c>
      <c r="K117"/>
      <c r="M117" s="2" t="s">
        <v>5</v>
      </c>
      <c r="N117" s="2">
        <f>POWER(2,O117)</f>
        <v>16384</v>
      </c>
      <c r="O117" s="1">
        <v>14</v>
      </c>
      <c r="P117" s="2">
        <f>N117/N118</f>
        <v>2.6281681103625281</v>
      </c>
    </row>
    <row r="118" spans="1:17" x14ac:dyDescent="0.25">
      <c r="A118" s="5" t="s">
        <v>6</v>
      </c>
      <c r="B118" s="5">
        <v>6234</v>
      </c>
      <c r="E118"/>
      <c r="G118" s="5" t="s">
        <v>6</v>
      </c>
      <c r="H118" s="5">
        <v>6234</v>
      </c>
      <c r="K118"/>
      <c r="M118" s="5" t="s">
        <v>6</v>
      </c>
      <c r="N118" s="5">
        <v>6234</v>
      </c>
    </row>
    <row r="119" spans="1:17" x14ac:dyDescent="0.25">
      <c r="A119" s="5" t="s">
        <v>7</v>
      </c>
      <c r="B119" s="5">
        <v>80</v>
      </c>
      <c r="E119"/>
      <c r="G119" s="5" t="s">
        <v>7</v>
      </c>
      <c r="H119" s="5">
        <v>80</v>
      </c>
      <c r="K119"/>
      <c r="M119" s="5" t="s">
        <v>7</v>
      </c>
      <c r="N119" s="5">
        <v>80</v>
      </c>
    </row>
    <row r="120" spans="1:17" x14ac:dyDescent="0.25">
      <c r="E120"/>
      <c r="K120"/>
    </row>
    <row r="121" spans="1:17" x14ac:dyDescent="0.25">
      <c r="A121" s="2" t="s">
        <v>8</v>
      </c>
      <c r="B121" s="1" t="s">
        <v>9</v>
      </c>
      <c r="C121" s="2" t="s">
        <v>10</v>
      </c>
      <c r="D121" s="1" t="s">
        <v>11</v>
      </c>
      <c r="E121"/>
      <c r="G121" s="2" t="s">
        <v>8</v>
      </c>
      <c r="H121" s="1" t="s">
        <v>9</v>
      </c>
      <c r="I121" s="2" t="s">
        <v>10</v>
      </c>
      <c r="J121" s="1" t="s">
        <v>11</v>
      </c>
      <c r="K121"/>
      <c r="M121" s="2" t="s">
        <v>8</v>
      </c>
      <c r="N121" s="1" t="s">
        <v>9</v>
      </c>
      <c r="O121" s="2" t="s">
        <v>10</v>
      </c>
      <c r="P121" s="24" t="s">
        <v>44</v>
      </c>
      <c r="Q121" s="24" t="s">
        <v>45</v>
      </c>
    </row>
    <row r="122" spans="1:17" x14ac:dyDescent="0.25">
      <c r="A122" s="2">
        <f>B116/(1-B116)*(D117+B122)/2/D117+D122/C122*(1+D117)/(1+D122/C122)</f>
        <v>-21.878907490732804</v>
      </c>
      <c r="B122" s="1">
        <v>44.96</v>
      </c>
      <c r="C122" s="6">
        <f>1/C123*1000</f>
        <v>3.2114069173705002</v>
      </c>
      <c r="D122" s="1">
        <v>2</v>
      </c>
      <c r="E122"/>
      <c r="G122" s="2">
        <f>H116/(1-H116)*(J117+H122)/2/J117+J122/I122*(1+J117)/(1+J122/I122)</f>
        <v>-11.023133812406101</v>
      </c>
      <c r="H122" s="1">
        <v>44.96</v>
      </c>
      <c r="I122" s="6">
        <f>1/I123*1000</f>
        <v>3.2114069173705002</v>
      </c>
      <c r="J122" s="1">
        <v>4</v>
      </c>
      <c r="K122"/>
      <c r="M122" s="2">
        <f>N116/(1-N116)*(P117+N122)/2/P117+P122/O122*(1+P117)/(1+P122/O122)</f>
        <v>-11.023133812406101</v>
      </c>
      <c r="N122" s="1">
        <v>44.96</v>
      </c>
      <c r="O122" s="6">
        <f>1/O123*1000</f>
        <v>3.2114069173705002</v>
      </c>
      <c r="P122" s="24">
        <v>4</v>
      </c>
      <c r="Q122" s="24">
        <v>2</v>
      </c>
    </row>
    <row r="123" spans="1:17" x14ac:dyDescent="0.25">
      <c r="B123" s="1" t="s">
        <v>12</v>
      </c>
      <c r="C123" s="7">
        <f>311390/1000</f>
        <v>311.39</v>
      </c>
      <c r="E123"/>
      <c r="H123" s="1" t="s">
        <v>12</v>
      </c>
      <c r="I123" s="7">
        <f>311390/1000</f>
        <v>311.39</v>
      </c>
      <c r="K123"/>
      <c r="N123" s="1" t="s">
        <v>12</v>
      </c>
      <c r="O123" s="7">
        <f>311390/1000</f>
        <v>311.39</v>
      </c>
    </row>
    <row r="124" spans="1:17" x14ac:dyDescent="0.25">
      <c r="E124"/>
      <c r="K124"/>
    </row>
    <row r="125" spans="1:17" x14ac:dyDescent="0.25">
      <c r="A125" s="2" t="s">
        <v>13</v>
      </c>
      <c r="B125" s="2">
        <f>(C117+2)*C115</f>
        <v>64</v>
      </c>
      <c r="E125"/>
      <c r="G125" s="2" t="s">
        <v>13</v>
      </c>
      <c r="H125" s="2">
        <f>(I117+2)*I115</f>
        <v>64</v>
      </c>
      <c r="K125"/>
      <c r="M125" s="2" t="s">
        <v>13</v>
      </c>
      <c r="N125" s="2">
        <f>(O117+2)*O115</f>
        <v>64</v>
      </c>
    </row>
    <row r="126" spans="1:17" x14ac:dyDescent="0.25">
      <c r="C126" s="1" t="s">
        <v>14</v>
      </c>
      <c r="D126" s="1">
        <v>431</v>
      </c>
      <c r="E126"/>
      <c r="I126" s="1" t="s">
        <v>14</v>
      </c>
      <c r="J126" s="1">
        <v>431</v>
      </c>
      <c r="K126"/>
      <c r="O126" s="1" t="s">
        <v>14</v>
      </c>
      <c r="P126" s="1">
        <v>431</v>
      </c>
    </row>
    <row r="127" spans="1:17" x14ac:dyDescent="0.25">
      <c r="A127" s="1" t="s">
        <v>15</v>
      </c>
      <c r="B127" s="1">
        <v>30</v>
      </c>
      <c r="D127" t="s">
        <v>16</v>
      </c>
      <c r="E127"/>
      <c r="G127" s="1" t="s">
        <v>15</v>
      </c>
      <c r="H127" s="1">
        <v>30</v>
      </c>
      <c r="J127" t="s">
        <v>16</v>
      </c>
      <c r="K127"/>
      <c r="M127" s="1" t="s">
        <v>15</v>
      </c>
      <c r="N127" s="1">
        <v>30</v>
      </c>
      <c r="P127" t="s">
        <v>16</v>
      </c>
    </row>
    <row r="128" spans="1:17" x14ac:dyDescent="0.25">
      <c r="E128"/>
      <c r="K128"/>
    </row>
    <row r="129" spans="1:16" x14ac:dyDescent="0.25">
      <c r="A129" s="7" t="s">
        <v>17</v>
      </c>
      <c r="B129" s="2" t="s">
        <v>18</v>
      </c>
      <c r="C129" s="7" t="s">
        <v>19</v>
      </c>
      <c r="E129"/>
      <c r="G129" s="7" t="s">
        <v>17</v>
      </c>
      <c r="H129" s="2" t="s">
        <v>18</v>
      </c>
      <c r="I129" s="7" t="s">
        <v>19</v>
      </c>
      <c r="K129"/>
      <c r="M129" s="7" t="s">
        <v>17</v>
      </c>
      <c r="N129" s="2" t="s">
        <v>18</v>
      </c>
      <c r="O129" s="7" t="s">
        <v>19</v>
      </c>
    </row>
    <row r="130" spans="1:16" x14ac:dyDescent="0.25">
      <c r="A130" s="16">
        <f>SUM(B153:B154)</f>
        <v>1688</v>
      </c>
      <c r="B130" s="8">
        <f>A130+C130</f>
        <v>1699</v>
      </c>
      <c r="C130" s="7">
        <v>11</v>
      </c>
      <c r="E130"/>
      <c r="G130" s="16">
        <f>SUM(H153:H154)</f>
        <v>777</v>
      </c>
      <c r="H130" s="8">
        <f>G130+I130</f>
        <v>783</v>
      </c>
      <c r="I130" s="7">
        <v>6</v>
      </c>
      <c r="K130"/>
      <c r="M130" s="16">
        <f>SUM(N153:N154)</f>
        <v>1017</v>
      </c>
      <c r="N130" s="8">
        <f>M130+O130</f>
        <v>1017</v>
      </c>
      <c r="O130" s="7"/>
    </row>
    <row r="131" spans="1:16" x14ac:dyDescent="0.25">
      <c r="A131" s="2" t="s">
        <v>42</v>
      </c>
      <c r="B131" s="8" t="s">
        <v>21</v>
      </c>
      <c r="C131" s="8" t="s">
        <v>22</v>
      </c>
      <c r="E131"/>
      <c r="G131" s="2" t="s">
        <v>42</v>
      </c>
      <c r="H131" s="8" t="s">
        <v>21</v>
      </c>
      <c r="I131" s="8" t="s">
        <v>22</v>
      </c>
      <c r="K131"/>
      <c r="M131" s="2" t="s">
        <v>42</v>
      </c>
      <c r="N131" s="8" t="s">
        <v>21</v>
      </c>
      <c r="O131" s="8" t="s">
        <v>22</v>
      </c>
    </row>
    <row r="132" spans="1:16" x14ac:dyDescent="0.25">
      <c r="A132" s="8">
        <f>A130*B125</f>
        <v>108032</v>
      </c>
      <c r="B132" s="9">
        <f>B130*B125</f>
        <v>108736</v>
      </c>
      <c r="C132" s="8">
        <f>C130*B125</f>
        <v>704</v>
      </c>
      <c r="E132"/>
      <c r="G132" s="8">
        <f>G130*H125</f>
        <v>49728</v>
      </c>
      <c r="H132" s="9">
        <f>H130*H125</f>
        <v>50112</v>
      </c>
      <c r="I132" s="8">
        <f>I130*H125</f>
        <v>384</v>
      </c>
      <c r="K132"/>
      <c r="M132" s="8">
        <f>M130*N125</f>
        <v>65088</v>
      </c>
      <c r="N132" s="9">
        <f>N130*N125</f>
        <v>65088</v>
      </c>
      <c r="O132" s="8">
        <f>O130*N125</f>
        <v>0</v>
      </c>
    </row>
    <row r="133" spans="1:16" x14ac:dyDescent="0.25">
      <c r="E133"/>
      <c r="K133"/>
    </row>
    <row r="134" spans="1:16" x14ac:dyDescent="0.25">
      <c r="A134" s="2" t="s">
        <v>23</v>
      </c>
      <c r="B134" s="2">
        <f>B127*B125/1024</f>
        <v>1.875</v>
      </c>
      <c r="E134"/>
      <c r="G134" s="2" t="s">
        <v>23</v>
      </c>
      <c r="H134" s="2">
        <f>H127*H125/1024</f>
        <v>1.875</v>
      </c>
      <c r="K134"/>
      <c r="M134" s="2" t="s">
        <v>23</v>
      </c>
      <c r="N134" s="2">
        <f>N127*N125/1024</f>
        <v>1.875</v>
      </c>
    </row>
    <row r="135" spans="1:16" x14ac:dyDescent="0.25">
      <c r="A135" s="2" t="s">
        <v>24</v>
      </c>
      <c r="B135" s="10">
        <f>(B127*B132+B130*D126*1024)/POWER(1024, 3)</f>
        <v>0.70138418674468994</v>
      </c>
      <c r="C135" s="8" t="s">
        <v>25</v>
      </c>
      <c r="D135" s="8">
        <f>B135/A130*POWER(1024,2)</f>
        <v>435.69586789099526</v>
      </c>
      <c r="E135"/>
      <c r="G135" s="2" t="s">
        <v>24</v>
      </c>
      <c r="H135" s="10">
        <f>(H127*H132+H130*J126*1024)/POWER(1024, 3)</f>
        <v>0.32323944568634033</v>
      </c>
      <c r="I135" s="8" t="s">
        <v>25</v>
      </c>
      <c r="J135" s="8">
        <f>H135/G130*POWER(1024,2)</f>
        <v>436.21766409266411</v>
      </c>
      <c r="K135"/>
      <c r="M135" s="2" t="s">
        <v>24</v>
      </c>
      <c r="N135" s="10">
        <f>(N127*O132+N130*P126*1024)/POWER(1024, 3)</f>
        <v>0.41802120208740234</v>
      </c>
      <c r="O135" s="8" t="s">
        <v>25</v>
      </c>
      <c r="P135" s="8">
        <f>N135/N153*POWER(1024,2)</f>
        <v>651.30312035661223</v>
      </c>
    </row>
    <row r="136" spans="1:16" x14ac:dyDescent="0.25">
      <c r="A136" s="2" t="s">
        <v>26</v>
      </c>
      <c r="B136" s="11">
        <f>C132/A132</f>
        <v>6.5165876777251181E-3</v>
      </c>
      <c r="E136"/>
      <c r="G136" s="2" t="s">
        <v>26</v>
      </c>
      <c r="H136" s="8">
        <f>I132/G132</f>
        <v>7.7220077220077222E-3</v>
      </c>
      <c r="K136"/>
      <c r="M136" s="2" t="s">
        <v>26</v>
      </c>
      <c r="N136" s="11">
        <f>O132/M132</f>
        <v>0</v>
      </c>
    </row>
    <row r="137" spans="1:16" x14ac:dyDescent="0.25">
      <c r="E137"/>
      <c r="K137"/>
    </row>
    <row r="138" spans="1:16" ht="32.25" thickBot="1" x14ac:dyDescent="0.55000000000000004">
      <c r="A138" s="12" t="s">
        <v>27</v>
      </c>
      <c r="B138" s="13">
        <v>1</v>
      </c>
      <c r="C138" s="2" t="s">
        <v>28</v>
      </c>
      <c r="E138"/>
      <c r="G138" s="12" t="s">
        <v>27</v>
      </c>
      <c r="H138" s="13">
        <v>1</v>
      </c>
      <c r="I138" s="2" t="s">
        <v>28</v>
      </c>
      <c r="K138"/>
      <c r="M138" s="12" t="s">
        <v>27</v>
      </c>
      <c r="N138" s="13">
        <v>1</v>
      </c>
      <c r="O138" s="2" t="s">
        <v>28</v>
      </c>
    </row>
    <row r="139" spans="1:16" ht="15.75" thickTop="1" x14ac:dyDescent="0.25">
      <c r="A139" s="7" t="s">
        <v>29</v>
      </c>
      <c r="B139" s="7">
        <v>2074.335</v>
      </c>
      <c r="C139" s="14">
        <f>B156/B$117</f>
        <v>26.200630004534911</v>
      </c>
      <c r="E139"/>
      <c r="G139" s="7" t="s">
        <v>29</v>
      </c>
      <c r="H139" s="7">
        <v>3036.6731</v>
      </c>
      <c r="I139" s="14">
        <f>H156/H$117</f>
        <v>16.752938931433107</v>
      </c>
      <c r="K139"/>
      <c r="M139" s="7" t="s">
        <v>29</v>
      </c>
      <c r="N139" s="7">
        <v>3742.9461000000001</v>
      </c>
      <c r="O139" s="14">
        <f>N156/N$117</f>
        <v>21.631881960815431</v>
      </c>
    </row>
    <row r="140" spans="1:16" x14ac:dyDescent="0.25">
      <c r="A140" s="7" t="s">
        <v>30</v>
      </c>
      <c r="B140" s="7">
        <v>2047</v>
      </c>
      <c r="C140" s="14">
        <f t="shared" ref="C140:C143" si="12">B157/B$117</f>
        <v>26.376853698730468</v>
      </c>
      <c r="E140"/>
      <c r="G140" s="7" t="s">
        <v>30</v>
      </c>
      <c r="H140" s="7">
        <v>3033</v>
      </c>
      <c r="I140" s="14">
        <f t="shared" ref="I140:I143" si="13">H157/H$117</f>
        <v>17.06023065185547</v>
      </c>
      <c r="K140"/>
      <c r="M140" s="7" t="s">
        <v>30</v>
      </c>
      <c r="N140" s="7">
        <v>3714.4263000000001</v>
      </c>
      <c r="O140" s="14">
        <f t="shared" ref="O140:O143" si="14">N157/N$117</f>
        <v>22.223371948242189</v>
      </c>
    </row>
    <row r="141" spans="1:16" x14ac:dyDescent="0.25">
      <c r="A141" s="15">
        <v>0.75</v>
      </c>
      <c r="B141" s="7">
        <v>3115</v>
      </c>
      <c r="C141" s="14">
        <f t="shared" si="12"/>
        <v>38.65971441650391</v>
      </c>
      <c r="E141"/>
      <c r="G141" s="15">
        <v>0.75</v>
      </c>
      <c r="H141" s="7">
        <v>4614</v>
      </c>
      <c r="I141" s="14">
        <f t="shared" si="13"/>
        <v>26.14492431640625</v>
      </c>
      <c r="K141"/>
      <c r="M141" s="15">
        <v>0.75</v>
      </c>
      <c r="N141" s="7">
        <v>5630.6868999999997</v>
      </c>
      <c r="O141" s="14">
        <f t="shared" si="14"/>
        <v>31.991521911621092</v>
      </c>
    </row>
    <row r="142" spans="1:16" x14ac:dyDescent="0.25">
      <c r="A142" s="7" t="s">
        <v>31</v>
      </c>
      <c r="B142" s="7">
        <v>4306</v>
      </c>
      <c r="C142" s="14">
        <f t="shared" si="12"/>
        <v>51.151800537109374</v>
      </c>
      <c r="E142"/>
      <c r="G142" s="7" t="s">
        <v>31</v>
      </c>
      <c r="H142" s="7">
        <v>6269</v>
      </c>
      <c r="I142" s="14">
        <f t="shared" si="13"/>
        <v>32.77343768310547</v>
      </c>
      <c r="K142"/>
      <c r="M142" s="7" t="s">
        <v>31</v>
      </c>
      <c r="N142" s="7">
        <v>7482</v>
      </c>
      <c r="O142" s="14">
        <f t="shared" si="14"/>
        <v>40.870139770507812</v>
      </c>
    </row>
    <row r="143" spans="1:16" x14ac:dyDescent="0.25">
      <c r="A143" s="7" t="s">
        <v>32</v>
      </c>
      <c r="B143" s="7">
        <v>1257.4830999999999</v>
      </c>
      <c r="C143" s="14">
        <f t="shared" si="12"/>
        <v>14.909770765728759</v>
      </c>
      <c r="E143"/>
      <c r="G143" s="7" t="s">
        <v>32</v>
      </c>
      <c r="H143" s="7">
        <v>1798.1319000000001</v>
      </c>
      <c r="I143" s="14">
        <f t="shared" si="13"/>
        <v>9.9211595888244624</v>
      </c>
      <c r="K143"/>
      <c r="M143" s="7" t="s">
        <v>32</v>
      </c>
      <c r="N143" s="7">
        <v>2109.5576999999998</v>
      </c>
      <c r="O143" s="14">
        <f t="shared" si="14"/>
        <v>11.812219538275148</v>
      </c>
    </row>
    <row r="144" spans="1:16" x14ac:dyDescent="0.25">
      <c r="E144"/>
      <c r="K144"/>
    </row>
    <row r="145" spans="1:64" ht="32.25" thickBot="1" x14ac:dyDescent="0.55000000000000004">
      <c r="A145" s="12" t="s">
        <v>27</v>
      </c>
      <c r="B145" s="13">
        <v>2</v>
      </c>
      <c r="C145" s="2" t="s">
        <v>28</v>
      </c>
      <c r="E145"/>
      <c r="G145" s="12" t="s">
        <v>27</v>
      </c>
      <c r="H145" s="13">
        <v>2</v>
      </c>
      <c r="I145" s="2" t="s">
        <v>28</v>
      </c>
      <c r="K145"/>
      <c r="M145" s="12" t="s">
        <v>27</v>
      </c>
      <c r="N145" s="13">
        <v>2</v>
      </c>
      <c r="O145" s="2" t="s">
        <v>28</v>
      </c>
    </row>
    <row r="146" spans="1:64" ht="15.75" thickTop="1" x14ac:dyDescent="0.25">
      <c r="A146" s="7" t="s">
        <v>29</v>
      </c>
      <c r="B146" s="7">
        <v>2120.8615</v>
      </c>
      <c r="C146" s="14">
        <f>B163/B$117</f>
        <v>25.131425868432615</v>
      </c>
      <c r="E146"/>
      <c r="G146" s="7" t="s">
        <v>29</v>
      </c>
      <c r="H146" s="7">
        <v>3052.7743</v>
      </c>
      <c r="I146" s="14">
        <f>H163/H$117</f>
        <v>17.111218108789064</v>
      </c>
      <c r="K146"/>
      <c r="M146" s="7" t="s">
        <v>29</v>
      </c>
      <c r="N146" s="7">
        <v>1840.0972999999999</v>
      </c>
      <c r="O146" s="14">
        <f>N163/N$117</f>
        <v>19.927944383880615</v>
      </c>
    </row>
    <row r="147" spans="1:64" x14ac:dyDescent="0.25">
      <c r="A147" s="7" t="s">
        <v>30</v>
      </c>
      <c r="B147" s="7">
        <v>1970</v>
      </c>
      <c r="C147" s="14">
        <f>B164/B$117</f>
        <v>24.952789733886718</v>
      </c>
      <c r="E147"/>
      <c r="G147" s="7" t="s">
        <v>30</v>
      </c>
      <c r="H147" s="7">
        <v>3146.3926000000001</v>
      </c>
      <c r="I147" s="14">
        <f>H164/H$117</f>
        <v>16.223074829101563</v>
      </c>
      <c r="K147"/>
      <c r="M147" s="7" t="s">
        <v>30</v>
      </c>
      <c r="N147" s="25">
        <v>1823.4318000000001</v>
      </c>
      <c r="O147" s="14">
        <f>N164/N$117</f>
        <v>20.068108642578125</v>
      </c>
    </row>
    <row r="148" spans="1:64" s="20" customFormat="1" x14ac:dyDescent="0.25">
      <c r="A148" s="15">
        <v>0.75</v>
      </c>
      <c r="B148" s="7">
        <v>3144</v>
      </c>
      <c r="C148" s="14">
        <f>B165/B$117</f>
        <v>35.143744812011718</v>
      </c>
      <c r="D148"/>
      <c r="E148"/>
      <c r="F148"/>
      <c r="G148" s="15">
        <v>0.75</v>
      </c>
      <c r="H148" s="7">
        <v>4439</v>
      </c>
      <c r="I148" s="14">
        <f>H165/H$117</f>
        <v>25.447345642089843</v>
      </c>
      <c r="J148"/>
      <c r="K148"/>
      <c r="L148"/>
      <c r="M148" s="15">
        <v>0.75</v>
      </c>
      <c r="N148" s="25">
        <v>2631.6835999999998</v>
      </c>
      <c r="O148" s="14">
        <f>N165/N$117</f>
        <v>29.460228637695312</v>
      </c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</row>
    <row r="149" spans="1:64" x14ac:dyDescent="0.25">
      <c r="A149" s="7" t="s">
        <v>31</v>
      </c>
      <c r="B149" s="7">
        <v>4506</v>
      </c>
      <c r="C149" s="14">
        <f>B166/B$117</f>
        <v>51.189328063964844</v>
      </c>
      <c r="E149"/>
      <c r="G149" s="7" t="s">
        <v>31</v>
      </c>
      <c r="H149" s="7">
        <v>6153</v>
      </c>
      <c r="I149" s="14">
        <f>H166/H$117</f>
        <v>32.811238037109376</v>
      </c>
      <c r="K149"/>
      <c r="M149" s="7" t="s">
        <v>31</v>
      </c>
      <c r="N149" s="25">
        <v>3784</v>
      </c>
      <c r="O149" s="14">
        <f>N166/N$117</f>
        <v>40.775152099609372</v>
      </c>
    </row>
    <row r="150" spans="1:64" s="20" customFormat="1" x14ac:dyDescent="0.25">
      <c r="A150" s="7" t="s">
        <v>32</v>
      </c>
      <c r="B150" s="7">
        <v>1228.0156999999999</v>
      </c>
      <c r="C150" s="14">
        <f>B167/B$117</f>
        <v>13.413442166204833</v>
      </c>
      <c r="D150"/>
      <c r="E150"/>
      <c r="F150"/>
      <c r="G150" s="7" t="s">
        <v>32</v>
      </c>
      <c r="H150" s="7">
        <v>1701.4277999999999</v>
      </c>
      <c r="I150" s="14">
        <f>H167/H$117</f>
        <v>8.432025828857423</v>
      </c>
      <c r="J150"/>
      <c r="K150"/>
      <c r="L150"/>
      <c r="M150" s="7" t="s">
        <v>32</v>
      </c>
      <c r="N150" s="25">
        <v>1033.0671</v>
      </c>
      <c r="O150" s="14">
        <f>N167/N$117</f>
        <v>11.343255087835693</v>
      </c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</row>
    <row r="151" spans="1:64" s="20" customFormat="1" x14ac:dyDescent="0.2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</row>
    <row r="152" spans="1:64" s="20" customFormat="1" x14ac:dyDescent="0.25">
      <c r="A152" s="1" t="s">
        <v>33</v>
      </c>
      <c r="B152" s="7" t="s">
        <v>43</v>
      </c>
      <c r="C152" s="2" t="s">
        <v>35</v>
      </c>
      <c r="D152"/>
      <c r="E152"/>
      <c r="F152"/>
      <c r="G152" s="1" t="s">
        <v>33</v>
      </c>
      <c r="H152" s="7" t="s">
        <v>34</v>
      </c>
      <c r="I152" s="2" t="s">
        <v>35</v>
      </c>
      <c r="J152"/>
      <c r="K152"/>
      <c r="L152"/>
      <c r="M152" s="1" t="s">
        <v>33</v>
      </c>
      <c r="N152" s="7" t="s">
        <v>34</v>
      </c>
      <c r="O152" s="2" t="s">
        <v>35</v>
      </c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</row>
    <row r="153" spans="1:64" x14ac:dyDescent="0.25">
      <c r="A153" s="1">
        <v>2500</v>
      </c>
      <c r="B153" s="16">
        <v>844</v>
      </c>
      <c r="C153" s="17"/>
      <c r="E153"/>
      <c r="G153" s="1">
        <v>2500</v>
      </c>
      <c r="H153" s="16">
        <v>388</v>
      </c>
      <c r="I153" s="17">
        <f>H153/G153</f>
        <v>0.1552</v>
      </c>
      <c r="K153"/>
      <c r="M153" s="1"/>
      <c r="N153" s="16">
        <v>673</v>
      </c>
      <c r="O153" s="17" t="e">
        <f>N153/M153</f>
        <v>#DIV/0!</v>
      </c>
    </row>
    <row r="154" spans="1:64" s="20" customFormat="1" x14ac:dyDescent="0.25">
      <c r="A154" s="1">
        <v>2500</v>
      </c>
      <c r="B154" s="16">
        <v>844</v>
      </c>
      <c r="C154" s="17"/>
      <c r="D154"/>
      <c r="E154"/>
      <c r="F154"/>
      <c r="G154" s="1">
        <v>2500</v>
      </c>
      <c r="H154" s="16">
        <v>389</v>
      </c>
      <c r="I154" s="17">
        <f>H154/G154</f>
        <v>0.15559999999999999</v>
      </c>
      <c r="J154"/>
      <c r="K154"/>
      <c r="L154"/>
      <c r="M154" s="1"/>
      <c r="N154" s="16">
        <v>344</v>
      </c>
      <c r="O154" s="17" t="e">
        <f>N154/M154</f>
        <v>#DIV/0!</v>
      </c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</row>
    <row r="155" spans="1:64" s="20" customFormat="1" ht="32.25" thickBot="1" x14ac:dyDescent="0.55000000000000004">
      <c r="A155" s="12" t="s">
        <v>36</v>
      </c>
      <c r="B155" s="13">
        <v>1</v>
      </c>
      <c r="C155"/>
      <c r="D155"/>
      <c r="E155"/>
      <c r="F155"/>
      <c r="G155" s="12" t="s">
        <v>36</v>
      </c>
      <c r="H155" s="13">
        <v>1</v>
      </c>
      <c r="I155"/>
      <c r="J155"/>
      <c r="K155"/>
      <c r="L155"/>
      <c r="M155" s="12" t="s">
        <v>36</v>
      </c>
      <c r="N155" s="13">
        <v>1</v>
      </c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</row>
    <row r="156" spans="1:64" s="20" customFormat="1" ht="15.75" thickTop="1" x14ac:dyDescent="0.25">
      <c r="A156" s="7" t="s">
        <v>29</v>
      </c>
      <c r="B156" s="7">
        <f>429271121.9943/1000</f>
        <v>429271.12199429999</v>
      </c>
      <c r="C156"/>
      <c r="D156"/>
      <c r="E156"/>
      <c r="F156"/>
      <c r="G156" s="7" t="s">
        <v>29</v>
      </c>
      <c r="H156" s="7">
        <f>274480151.4526/1000</f>
        <v>274480.15145260002</v>
      </c>
      <c r="I156"/>
      <c r="J156"/>
      <c r="K156"/>
      <c r="L156"/>
      <c r="M156" s="7" t="s">
        <v>29</v>
      </c>
      <c r="N156" s="7">
        <f>354416754.046/1000</f>
        <v>354416.75404600002</v>
      </c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</row>
    <row r="157" spans="1:64" s="20" customFormat="1" x14ac:dyDescent="0.25">
      <c r="A157" s="7" t="s">
        <v>30</v>
      </c>
      <c r="B157" s="7">
        <f>432158371/1000</f>
        <v>432158.37099999998</v>
      </c>
      <c r="C157"/>
      <c r="D157"/>
      <c r="E157"/>
      <c r="F157"/>
      <c r="G157" s="7" t="s">
        <v>30</v>
      </c>
      <c r="H157" s="7">
        <f>279514819/1000</f>
        <v>279514.81900000002</v>
      </c>
      <c r="I157"/>
      <c r="J157"/>
      <c r="K157"/>
      <c r="L157"/>
      <c r="M157" s="7" t="s">
        <v>30</v>
      </c>
      <c r="N157" s="7">
        <f>364107726/1000</f>
        <v>364107.72600000002</v>
      </c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</row>
    <row r="158" spans="1:64" s="20" customFormat="1" x14ac:dyDescent="0.25">
      <c r="A158" s="15">
        <f>75%</f>
        <v>0.75</v>
      </c>
      <c r="B158" s="7">
        <f>633400761/1000</f>
        <v>633400.76100000006</v>
      </c>
      <c r="C158" s="18"/>
      <c r="D158"/>
      <c r="E158"/>
      <c r="F158"/>
      <c r="G158" s="15">
        <f>75%</f>
        <v>0.75</v>
      </c>
      <c r="H158" s="7">
        <f>428358440/1000</f>
        <v>428358.44</v>
      </c>
      <c r="I158" s="18"/>
      <c r="J158"/>
      <c r="K158"/>
      <c r="L158"/>
      <c r="M158" s="15">
        <f>75%</f>
        <v>0.75</v>
      </c>
      <c r="N158" s="7">
        <f>524149095/1000</f>
        <v>524149.09499999997</v>
      </c>
      <c r="O158" s="1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</row>
    <row r="159" spans="1:64" s="20" customFormat="1" x14ac:dyDescent="0.25">
      <c r="A159" s="7" t="s">
        <v>31</v>
      </c>
      <c r="B159" s="7">
        <f>838071100/1000</f>
        <v>838071.1</v>
      </c>
      <c r="C159" s="18"/>
      <c r="D159"/>
      <c r="E159"/>
      <c r="F159"/>
      <c r="G159" s="7" t="s">
        <v>31</v>
      </c>
      <c r="H159" s="7">
        <f>536960003/1000</f>
        <v>536960.00300000003</v>
      </c>
      <c r="I159" s="18"/>
      <c r="J159"/>
      <c r="K159"/>
      <c r="L159"/>
      <c r="M159" s="7" t="s">
        <v>31</v>
      </c>
      <c r="N159" s="7">
        <f>669616370/1000</f>
        <v>669616.37</v>
      </c>
      <c r="O159" s="18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</row>
    <row r="160" spans="1:64" x14ac:dyDescent="0.25">
      <c r="A160" s="7" t="s">
        <v>32</v>
      </c>
      <c r="B160" s="7">
        <f>244281684.2257/1000</f>
        <v>244281.68422569998</v>
      </c>
      <c r="C160" s="18"/>
      <c r="E160"/>
      <c r="G160" s="7" t="s">
        <v>32</v>
      </c>
      <c r="H160" s="7">
        <f>162548278.7033/1000</f>
        <v>162548.27870329999</v>
      </c>
      <c r="I160" s="18"/>
      <c r="K160"/>
      <c r="M160" s="7" t="s">
        <v>32</v>
      </c>
      <c r="N160" s="7">
        <f>193531404.9151/1000</f>
        <v>193531.40491510002</v>
      </c>
      <c r="O160" s="18"/>
    </row>
    <row r="161" spans="1:161" s="20" customFormat="1" x14ac:dyDescent="0.2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</row>
    <row r="162" spans="1:161" s="20" customFormat="1" ht="32.25" thickBot="1" x14ac:dyDescent="0.55000000000000004">
      <c r="A162" s="12" t="s">
        <v>37</v>
      </c>
      <c r="B162" s="13">
        <v>2</v>
      </c>
      <c r="C162"/>
      <c r="D162"/>
      <c r="E162"/>
      <c r="F162"/>
      <c r="G162" s="12" t="s">
        <v>37</v>
      </c>
      <c r="H162" s="13">
        <v>2</v>
      </c>
      <c r="I162"/>
      <c r="J162"/>
      <c r="K162"/>
      <c r="L162"/>
      <c r="M162" s="12" t="s">
        <v>37</v>
      </c>
      <c r="N162" s="13">
        <v>2</v>
      </c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</row>
    <row r="163" spans="1:161" ht="15.75" thickTop="1" x14ac:dyDescent="0.25">
      <c r="A163" s="7" t="s">
        <v>29</v>
      </c>
      <c r="B163" s="7">
        <f>411753281.4284/1000</f>
        <v>411753.28142839996</v>
      </c>
      <c r="E163"/>
      <c r="G163" s="7" t="s">
        <v>29</v>
      </c>
      <c r="H163" s="7">
        <f>280350197.4944/1000</f>
        <v>280350.19749440002</v>
      </c>
      <c r="K163"/>
      <c r="M163" s="7" t="s">
        <v>29</v>
      </c>
      <c r="N163" s="7">
        <f>326499440.7855/1000</f>
        <v>326499.44078549999</v>
      </c>
    </row>
    <row r="164" spans="1:161" s="20" customFormat="1" x14ac:dyDescent="0.25">
      <c r="A164" s="7" t="s">
        <v>30</v>
      </c>
      <c r="B164" s="7">
        <f>408826507/1000</f>
        <v>408826.50699999998</v>
      </c>
      <c r="C164"/>
      <c r="D164"/>
      <c r="E164"/>
      <c r="F164"/>
      <c r="G164" s="7" t="s">
        <v>30</v>
      </c>
      <c r="H164" s="7">
        <f>265798858/1000</f>
        <v>265798.85800000001</v>
      </c>
      <c r="I164"/>
      <c r="J164"/>
      <c r="K164"/>
      <c r="L164"/>
      <c r="M164" s="7" t="s">
        <v>30</v>
      </c>
      <c r="N164" s="7">
        <f>328795892/1000</f>
        <v>328795.89199999999</v>
      </c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</row>
    <row r="165" spans="1:161" s="20" customFormat="1" x14ac:dyDescent="0.25">
      <c r="A165" s="15">
        <f>75%</f>
        <v>0.75</v>
      </c>
      <c r="B165" s="7">
        <f>575795115/1000</f>
        <v>575795.11499999999</v>
      </c>
      <c r="C165"/>
      <c r="D165"/>
      <c r="E165"/>
      <c r="F165"/>
      <c r="G165" s="15">
        <f>75%</f>
        <v>0.75</v>
      </c>
      <c r="H165" s="7">
        <f>416929311/1000</f>
        <v>416929.31099999999</v>
      </c>
      <c r="I165"/>
      <c r="J165"/>
      <c r="K165"/>
      <c r="L165"/>
      <c r="M165" s="15">
        <f>75%</f>
        <v>0.75</v>
      </c>
      <c r="N165" s="7">
        <f>482676386/1000</f>
        <v>482676.386</v>
      </c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</row>
    <row r="166" spans="1:161" s="20" customFormat="1" x14ac:dyDescent="0.25">
      <c r="A166" s="7" t="s">
        <v>31</v>
      </c>
      <c r="B166" s="7">
        <f>838685951/1000</f>
        <v>838685.951</v>
      </c>
      <c r="C166"/>
      <c r="D166"/>
      <c r="E166"/>
      <c r="F166"/>
      <c r="G166" s="7" t="s">
        <v>31</v>
      </c>
      <c r="H166" s="7">
        <f>537579324/1000</f>
        <v>537579.32400000002</v>
      </c>
      <c r="I166"/>
      <c r="J166"/>
      <c r="K166"/>
      <c r="L166"/>
      <c r="M166" s="7" t="s">
        <v>31</v>
      </c>
      <c r="N166" s="7">
        <f>668060092/1000</f>
        <v>668060.09199999995</v>
      </c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</row>
    <row r="167" spans="1:161" s="20" customFormat="1" x14ac:dyDescent="0.25">
      <c r="A167" s="7" t="s">
        <v>32</v>
      </c>
      <c r="B167" s="7">
        <f>219765836.4511/1000</f>
        <v>219765.83645109998</v>
      </c>
      <c r="C167"/>
      <c r="D167"/>
      <c r="E167"/>
      <c r="F167"/>
      <c r="G167" s="7" t="s">
        <v>32</v>
      </c>
      <c r="H167" s="7">
        <f>138150311.18/1000</f>
        <v>138150.31118000002</v>
      </c>
      <c r="I167"/>
      <c r="J167"/>
      <c r="K167"/>
      <c r="L167"/>
      <c r="M167" s="7" t="s">
        <v>32</v>
      </c>
      <c r="N167" s="7">
        <f>185847891.3591/1000</f>
        <v>185847.8913591</v>
      </c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</row>
    <row r="168" spans="1:161" s="20" customFormat="1" x14ac:dyDescent="0.25">
      <c r="A168" s="19"/>
      <c r="B168" s="19"/>
      <c r="C168" s="19"/>
      <c r="D168" s="19"/>
      <c r="E168"/>
      <c r="F168"/>
      <c r="G168" s="19"/>
      <c r="H168" s="19"/>
      <c r="I168" s="19"/>
      <c r="J168" s="19"/>
      <c r="K168"/>
      <c r="L168"/>
      <c r="M168" s="19"/>
      <c r="N168" s="19"/>
      <c r="O168" s="19"/>
      <c r="P168" s="19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</row>
    <row r="169" spans="1:161" s="20" customFormat="1" x14ac:dyDescent="0.25">
      <c r="A169" s="19"/>
      <c r="B169" s="19"/>
      <c r="C169" s="19"/>
      <c r="D169" s="19"/>
      <c r="E169"/>
      <c r="F169"/>
      <c r="G169" s="19"/>
      <c r="H169" s="19"/>
      <c r="I169" s="19"/>
      <c r="J169" s="19"/>
      <c r="K169"/>
      <c r="L169"/>
      <c r="M169" s="19"/>
      <c r="N169" s="19"/>
      <c r="O169" s="19"/>
      <c r="P169" s="1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</row>
    <row r="170" spans="1:161" s="20" customFormat="1" x14ac:dyDescent="0.25">
      <c r="A170" s="19"/>
      <c r="B170" s="19"/>
      <c r="C170" s="19"/>
      <c r="D170" s="19"/>
      <c r="E170"/>
      <c r="F170"/>
      <c r="G170" s="19"/>
      <c r="H170" s="19"/>
      <c r="I170" s="19"/>
      <c r="J170" s="19"/>
      <c r="K170"/>
      <c r="L170"/>
      <c r="M170" s="19"/>
      <c r="N170" s="19"/>
      <c r="O170" s="19"/>
      <c r="P170" s="19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</row>
    <row r="171" spans="1:161" s="20" customFormat="1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</row>
    <row r="172" spans="1:161" s="20" customFormat="1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</row>
    <row r="173" spans="1:161" s="20" customFormat="1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</row>
    <row r="174" spans="1:161" s="20" customFormat="1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</row>
    <row r="175" spans="1:161" s="20" customFormat="1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</row>
    <row r="176" spans="1:161" s="20" customFormat="1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</row>
    <row r="177" spans="1:161" s="20" customFormat="1" x14ac:dyDescent="0.2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</row>
    <row r="178" spans="1:161" x14ac:dyDescent="0.25">
      <c r="E178"/>
      <c r="K178"/>
    </row>
    <row r="179" spans="1:161" s="20" customFormat="1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</row>
    <row r="180" spans="1:161" s="20" customFormat="1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</row>
    <row r="181" spans="1:161" s="20" customFormat="1" x14ac:dyDescent="0.2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</row>
    <row r="182" spans="1:161" x14ac:dyDescent="0.25">
      <c r="E182"/>
      <c r="K182"/>
    </row>
    <row r="183" spans="1:161" s="20" customFormat="1" x14ac:dyDescent="0.2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/>
      <c r="CO183"/>
      <c r="CP183"/>
      <c r="CQ183"/>
      <c r="CR183"/>
      <c r="CS183"/>
      <c r="CT183"/>
      <c r="CU183"/>
      <c r="CV183"/>
      <c r="CW183"/>
      <c r="CX183"/>
      <c r="CY183"/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</row>
    <row r="184" spans="1:161" x14ac:dyDescent="0.25">
      <c r="E184"/>
      <c r="K184"/>
    </row>
    <row r="185" spans="1:161" s="20" customFormat="1" x14ac:dyDescent="0.2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</row>
    <row r="186" spans="1:161" x14ac:dyDescent="0.25">
      <c r="E186"/>
      <c r="K186"/>
    </row>
    <row r="187" spans="1:161" s="20" customFormat="1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</row>
    <row r="188" spans="1:161" s="20" customFormat="1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</row>
    <row r="189" spans="1:161" s="20" customFormat="1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</row>
    <row r="190" spans="1:161" s="20" customFormat="1" x14ac:dyDescent="0.2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</row>
    <row r="191" spans="1:161" x14ac:dyDescent="0.25">
      <c r="E191"/>
      <c r="K191"/>
    </row>
    <row r="192" spans="1:161" s="20" customFormat="1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</row>
    <row r="193" spans="1:161" s="20" customFormat="1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</row>
    <row r="194" spans="1:161" s="20" customFormat="1" x14ac:dyDescent="0.2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</row>
    <row r="195" spans="1:161" x14ac:dyDescent="0.25">
      <c r="E195"/>
      <c r="K195"/>
    </row>
    <row r="196" spans="1:161" s="20" customFormat="1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</row>
    <row r="197" spans="1:161" s="20" customFormat="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</row>
    <row r="198" spans="1:161" s="20" customFormat="1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</row>
    <row r="199" spans="1:161" s="20" customFormat="1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</row>
    <row r="200" spans="1:161" s="20" customFormat="1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</row>
    <row r="201" spans="1:161" s="20" customFormat="1" x14ac:dyDescent="0.2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</row>
    <row r="202" spans="1:161" x14ac:dyDescent="0.25">
      <c r="E202"/>
      <c r="K202"/>
    </row>
    <row r="203" spans="1:161" s="20" customFormat="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</row>
    <row r="204" spans="1:161" s="20" customFormat="1" x14ac:dyDescent="0.2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</row>
    <row r="205" spans="1:161" x14ac:dyDescent="0.25">
      <c r="E205"/>
      <c r="K205"/>
    </row>
    <row r="206" spans="1:161" s="20" customFormat="1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</row>
    <row r="207" spans="1:161" s="20" customFormat="1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</row>
    <row r="208" spans="1:161" s="20" customFormat="1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</row>
    <row r="209" spans="1:161" s="20" customFormat="1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</row>
    <row r="210" spans="1:161" s="20" customFormat="1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</row>
    <row r="211" spans="1:161" s="20" customFormat="1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</row>
    <row r="212" spans="1:161" s="20" customFormat="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</row>
    <row r="213" spans="1:161" s="20" customFormat="1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</row>
    <row r="214" spans="1:161" s="20" customFormat="1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</row>
    <row r="215" spans="1:161" s="20" customFormat="1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</row>
    <row r="216" spans="1:161" s="20" customFormat="1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</row>
    <row r="217" spans="1:161" s="20" customFormat="1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</row>
    <row r="218" spans="1:161" s="20" customFormat="1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</row>
    <row r="219" spans="1:161" s="20" customFormat="1" x14ac:dyDescent="0.2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</row>
    <row r="220" spans="1:161" x14ac:dyDescent="0.25">
      <c r="E220"/>
      <c r="K220"/>
    </row>
    <row r="221" spans="1:161" s="20" customFormat="1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</row>
    <row r="222" spans="1:161" s="20" customFormat="1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</row>
    <row r="223" spans="1:161" s="20" customFormat="1" x14ac:dyDescent="0.2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/>
      <c r="CC223"/>
      <c r="CD223"/>
      <c r="CE223"/>
      <c r="CF223"/>
      <c r="CG223"/>
      <c r="CH223"/>
      <c r="CI223"/>
      <c r="CJ223"/>
      <c r="CK223"/>
      <c r="CL223"/>
      <c r="CM223"/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</row>
    <row r="224" spans="1:161" x14ac:dyDescent="0.25">
      <c r="E224"/>
      <c r="K224"/>
    </row>
    <row r="225" spans="1:161" s="20" customFormat="1" x14ac:dyDescent="0.2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/>
      <c r="CC225"/>
      <c r="CD225"/>
      <c r="CE225"/>
      <c r="CF225"/>
      <c r="CG225"/>
      <c r="CH225"/>
      <c r="CI225"/>
      <c r="CJ225"/>
      <c r="CK225"/>
      <c r="CL225"/>
      <c r="CM225"/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</row>
    <row r="226" spans="1:161" x14ac:dyDescent="0.25">
      <c r="E226"/>
      <c r="K226"/>
    </row>
    <row r="227" spans="1:161" s="20" customFormat="1" x14ac:dyDescent="0.2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/>
      <c r="CC227"/>
      <c r="CD227"/>
      <c r="CE227"/>
      <c r="CF227"/>
      <c r="CG227"/>
      <c r="CH227"/>
      <c r="CI227"/>
      <c r="CJ227"/>
      <c r="CK227"/>
      <c r="CL227"/>
      <c r="CM227"/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</row>
    <row r="228" spans="1:161" x14ac:dyDescent="0.25">
      <c r="E228"/>
      <c r="K228"/>
    </row>
    <row r="229" spans="1:161" s="20" customFormat="1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</row>
    <row r="230" spans="1:161" s="20" customFormat="1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</row>
    <row r="231" spans="1:161" s="20" customFormat="1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</row>
    <row r="232" spans="1:161" s="20" customFormat="1" x14ac:dyDescent="0.2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/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</row>
    <row r="233" spans="1:161" x14ac:dyDescent="0.25">
      <c r="E233"/>
      <c r="K233"/>
    </row>
    <row r="234" spans="1:161" s="20" customFormat="1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</row>
    <row r="235" spans="1:161" s="20" customFormat="1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</row>
    <row r="236" spans="1:161" s="20" customFormat="1" x14ac:dyDescent="0.2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/>
      <c r="CC236"/>
      <c r="CD236"/>
      <c r="CE236"/>
      <c r="CF236"/>
      <c r="CG236"/>
      <c r="CH236"/>
      <c r="CI236"/>
      <c r="CJ236"/>
      <c r="CK236"/>
      <c r="CL236"/>
      <c r="CM236"/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</row>
    <row r="237" spans="1:161" x14ac:dyDescent="0.25">
      <c r="E237"/>
      <c r="K237"/>
    </row>
    <row r="238" spans="1:161" s="20" customFormat="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</row>
    <row r="239" spans="1:161" s="20" customFormat="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</row>
    <row r="240" spans="1:161" s="20" customFormat="1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</row>
    <row r="241" spans="1:161" s="20" customFormat="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</row>
    <row r="242" spans="1:161" s="20" customFormat="1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</row>
    <row r="243" spans="1:161" s="20" customFormat="1" x14ac:dyDescent="0.2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/>
      <c r="CH243"/>
      <c r="CI243"/>
      <c r="CJ243"/>
      <c r="CK243"/>
      <c r="CL243"/>
      <c r="CM243"/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</row>
    <row r="244" spans="1:161" x14ac:dyDescent="0.25">
      <c r="E244"/>
      <c r="K244"/>
    </row>
    <row r="245" spans="1:161" s="20" customFormat="1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</row>
    <row r="246" spans="1:161" s="20" customFormat="1" x14ac:dyDescent="0.2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/>
      <c r="CC246"/>
      <c r="CD246"/>
      <c r="CE246"/>
      <c r="CF246"/>
      <c r="CG246"/>
      <c r="CH246"/>
      <c r="CI246"/>
      <c r="CJ246"/>
      <c r="CK246"/>
      <c r="CL246"/>
      <c r="CM246"/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</row>
    <row r="247" spans="1:161" x14ac:dyDescent="0.25">
      <c r="E247"/>
      <c r="K247"/>
    </row>
    <row r="248" spans="1:161" s="20" customForma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</row>
    <row r="249" spans="1:161" s="20" customFormat="1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</row>
    <row r="250" spans="1:161" s="20" customForma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</row>
    <row r="251" spans="1:161" s="20" customFormat="1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</row>
    <row r="252" spans="1:161" s="20" customFormat="1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</row>
    <row r="253" spans="1:161" s="20" customFormat="1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</row>
    <row r="254" spans="1:161" s="20" customFormat="1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</row>
    <row r="255" spans="1:161" s="20" customFormat="1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</row>
    <row r="256" spans="1:161" s="20" customFormat="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</row>
    <row r="257" spans="1:161" s="20" customFormat="1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</row>
    <row r="258" spans="1:161" s="20" customFormat="1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</row>
    <row r="259" spans="1:161" s="20" customFormat="1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</row>
    <row r="260" spans="1:161" s="20" customFormat="1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</row>
    <row r="261" spans="1:161" s="20" customFormat="1" x14ac:dyDescent="0.25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/>
      <c r="CC261"/>
      <c r="CD261"/>
      <c r="CE261"/>
      <c r="CF261"/>
      <c r="CG261"/>
      <c r="CH261"/>
      <c r="CI261"/>
      <c r="CJ261"/>
      <c r="CK261"/>
      <c r="CL261"/>
      <c r="CM261"/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</row>
    <row r="262" spans="1:161" x14ac:dyDescent="0.25">
      <c r="E262"/>
      <c r="K262"/>
    </row>
    <row r="263" spans="1:161" s="20" customFormat="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</row>
    <row r="264" spans="1:161" s="20" customFormat="1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</row>
    <row r="265" spans="1:161" s="20" customFormat="1" x14ac:dyDescent="0.25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/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</row>
    <row r="266" spans="1:161" x14ac:dyDescent="0.25">
      <c r="E266"/>
      <c r="K266"/>
    </row>
    <row r="267" spans="1:161" s="20" customFormat="1" x14ac:dyDescent="0.25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/>
      <c r="CC267"/>
      <c r="CD267"/>
      <c r="CE267"/>
      <c r="CF267"/>
      <c r="CG267"/>
      <c r="CH267"/>
      <c r="CI267"/>
      <c r="CJ267"/>
      <c r="CK267"/>
      <c r="CL267"/>
      <c r="CM267"/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</row>
    <row r="268" spans="1:161" x14ac:dyDescent="0.25">
      <c r="E268"/>
      <c r="K268"/>
    </row>
    <row r="269" spans="1:161" s="20" customFormat="1" x14ac:dyDescent="0.25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/>
      <c r="CC269"/>
      <c r="CD269"/>
      <c r="CE269"/>
      <c r="CF269"/>
      <c r="CG269"/>
      <c r="CH269"/>
      <c r="CI269"/>
      <c r="CJ269"/>
      <c r="CK269"/>
      <c r="CL269"/>
      <c r="CM269"/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</row>
    <row r="270" spans="1:161" x14ac:dyDescent="0.25">
      <c r="E270"/>
      <c r="K270"/>
    </row>
    <row r="271" spans="1:161" s="20" customForma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</row>
    <row r="272" spans="1:161" s="20" customFormat="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</row>
    <row r="273" spans="1:161" s="20" customFormat="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</row>
    <row r="274" spans="1:161" s="20" customFormat="1" x14ac:dyDescent="0.25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/>
      <c r="CB274"/>
      <c r="CC274"/>
      <c r="CD274"/>
      <c r="CE274"/>
      <c r="CF274"/>
      <c r="CG274"/>
      <c r="CH274"/>
      <c r="CI274"/>
      <c r="CJ274"/>
      <c r="CK274"/>
      <c r="CL274"/>
      <c r="CM274"/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</row>
    <row r="275" spans="1:161" x14ac:dyDescent="0.25">
      <c r="E275"/>
      <c r="K275"/>
    </row>
    <row r="276" spans="1:161" s="20" customFormat="1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</row>
    <row r="277" spans="1:161" s="20" customFormat="1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</row>
    <row r="278" spans="1:161" s="20" customFormat="1" x14ac:dyDescent="0.25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/>
      <c r="CC278"/>
      <c r="CD278"/>
      <c r="CE278"/>
      <c r="CF278"/>
      <c r="CG278"/>
      <c r="CH278"/>
      <c r="CI278"/>
      <c r="CJ278"/>
      <c r="CK278"/>
      <c r="CL278"/>
      <c r="CM278"/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</row>
    <row r="279" spans="1:161" x14ac:dyDescent="0.25">
      <c r="E279"/>
      <c r="K279"/>
    </row>
    <row r="280" spans="1:161" s="20" customFormat="1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</row>
    <row r="281" spans="1:161" s="20" customFormat="1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</row>
    <row r="282" spans="1:161" s="20" customFormat="1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</row>
    <row r="283" spans="1:161" s="20" customFormat="1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</row>
    <row r="284" spans="1:161" s="20" customFormat="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</row>
    <row r="285" spans="1:161" s="20" customFormat="1" x14ac:dyDescent="0.25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/>
      <c r="CB285"/>
      <c r="CC285"/>
      <c r="CD285"/>
      <c r="CE285"/>
      <c r="CF285"/>
      <c r="CG285"/>
      <c r="CH285"/>
      <c r="CI285"/>
      <c r="CJ285"/>
      <c r="CK285"/>
      <c r="CL285"/>
      <c r="CM285"/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</row>
    <row r="286" spans="1:161" x14ac:dyDescent="0.25">
      <c r="E286"/>
      <c r="K286"/>
    </row>
    <row r="287" spans="1:161" s="20" customFormat="1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</row>
    <row r="288" spans="1:161" s="20" customFormat="1" x14ac:dyDescent="0.25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/>
      <c r="CC288"/>
      <c r="CD288"/>
      <c r="CE288"/>
      <c r="CF288"/>
      <c r="CG288"/>
      <c r="CH288"/>
      <c r="CI288"/>
      <c r="CJ288"/>
      <c r="CK288"/>
      <c r="CL288"/>
      <c r="CM288"/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</row>
    <row r="289" spans="1:161" x14ac:dyDescent="0.25">
      <c r="E289"/>
      <c r="K289"/>
    </row>
    <row r="290" spans="1:161" s="20" customFormat="1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</row>
    <row r="291" spans="1:161" s="20" customFormat="1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</row>
    <row r="292" spans="1:161" s="20" customFormat="1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</row>
    <row r="293" spans="1:161" s="20" customFormat="1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</row>
    <row r="294" spans="1:161" s="20" customFormat="1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</row>
    <row r="295" spans="1:161" s="20" customFormat="1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</row>
    <row r="296" spans="1:161" s="20" customFormat="1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</row>
    <row r="297" spans="1:161" s="20" customFormat="1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</row>
    <row r="298" spans="1:161" s="20" customFormat="1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</row>
    <row r="299" spans="1:161" s="20" customFormat="1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</row>
    <row r="300" spans="1:161" s="20" customFormat="1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</row>
    <row r="301" spans="1:161" s="20" customFormat="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</row>
    <row r="302" spans="1:161" s="20" customFormat="1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</row>
    <row r="303" spans="1:161" s="20" customFormat="1" x14ac:dyDescent="0.25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/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</row>
    <row r="304" spans="1:161" x14ac:dyDescent="0.25">
      <c r="E304"/>
      <c r="K304"/>
    </row>
    <row r="305" spans="1:161" s="20" customFormat="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</row>
    <row r="306" spans="1:161" s="20" customFormat="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</row>
    <row r="307" spans="1:161" s="20" customFormat="1" x14ac:dyDescent="0.25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/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</row>
    <row r="308" spans="1:161" x14ac:dyDescent="0.25">
      <c r="E308"/>
      <c r="K308"/>
    </row>
    <row r="309" spans="1:161" s="20" customFormat="1" x14ac:dyDescent="0.25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/>
      <c r="CC309"/>
      <c r="CD309"/>
      <c r="CE309"/>
      <c r="CF309"/>
      <c r="CG309"/>
      <c r="CH309"/>
      <c r="CI309"/>
      <c r="CJ309"/>
      <c r="CK309"/>
      <c r="CL309"/>
      <c r="CM309"/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</row>
    <row r="310" spans="1:161" x14ac:dyDescent="0.25">
      <c r="E310"/>
      <c r="K310"/>
    </row>
    <row r="311" spans="1:161" s="20" customFormat="1" x14ac:dyDescent="0.25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/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</row>
    <row r="312" spans="1:161" x14ac:dyDescent="0.25">
      <c r="E312"/>
      <c r="K312"/>
    </row>
    <row r="313" spans="1:161" s="20" customFormat="1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</row>
    <row r="314" spans="1:161" s="20" customFormat="1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</row>
    <row r="315" spans="1:161" s="20" customFormat="1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</row>
    <row r="316" spans="1:161" s="20" customFormat="1" x14ac:dyDescent="0.25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/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</row>
    <row r="317" spans="1:161" x14ac:dyDescent="0.25">
      <c r="E317"/>
      <c r="K317"/>
    </row>
    <row r="318" spans="1:161" s="20" customFormat="1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</row>
    <row r="319" spans="1:161" s="20" customFormat="1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</row>
    <row r="320" spans="1:161" s="20" customFormat="1" x14ac:dyDescent="0.25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</row>
    <row r="321" spans="1:161" x14ac:dyDescent="0.25">
      <c r="E321"/>
      <c r="K321"/>
    </row>
    <row r="322" spans="1:161" s="20" customFormat="1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</row>
    <row r="323" spans="1:161" s="20" customFormat="1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</row>
    <row r="324" spans="1:161" s="20" customFormat="1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</row>
    <row r="325" spans="1:161" s="20" customFormat="1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</row>
    <row r="326" spans="1:161" s="20" customFormat="1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</row>
    <row r="327" spans="1:161" s="20" customFormat="1" x14ac:dyDescent="0.25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</row>
    <row r="328" spans="1:161" x14ac:dyDescent="0.25">
      <c r="E328"/>
      <c r="K328"/>
    </row>
    <row r="329" spans="1:161" s="20" customFormat="1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</row>
    <row r="330" spans="1:161" s="20" customFormat="1" x14ac:dyDescent="0.25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</row>
    <row r="331" spans="1:161" x14ac:dyDescent="0.25">
      <c r="E331"/>
      <c r="K331"/>
    </row>
    <row r="332" spans="1:161" s="20" customFormat="1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</row>
    <row r="333" spans="1:161" s="20" customFormat="1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</row>
    <row r="334" spans="1:161" s="20" customFormat="1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</row>
    <row r="335" spans="1:161" s="20" customFormat="1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</row>
    <row r="336" spans="1:161" s="20" customFormat="1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</row>
    <row r="337" spans="1:161" s="20" customFormat="1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</row>
    <row r="338" spans="1:161" s="20" customFormat="1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</row>
    <row r="339" spans="1:161" s="20" customFormat="1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</row>
    <row r="340" spans="1:161" s="20" customFormat="1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</row>
    <row r="341" spans="1:161" s="20" customFormat="1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</row>
    <row r="342" spans="1:161" s="20" customFormat="1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</row>
    <row r="343" spans="1:161" s="20" customFormat="1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</row>
    <row r="344" spans="1:161" s="20" customFormat="1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</row>
    <row r="345" spans="1:161" s="20" customFormat="1" x14ac:dyDescent="0.25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/>
      <c r="CC345"/>
      <c r="CD345"/>
      <c r="CE345"/>
      <c r="CF345"/>
      <c r="CG345"/>
      <c r="CH345"/>
      <c r="CI345"/>
      <c r="CJ345"/>
      <c r="CK345"/>
      <c r="CL345"/>
      <c r="CM345"/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</row>
    <row r="346" spans="1:161" x14ac:dyDescent="0.25">
      <c r="E346"/>
      <c r="K346"/>
    </row>
    <row r="347" spans="1:161" s="20" customFormat="1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</row>
    <row r="348" spans="1:161" s="20" customFormat="1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</row>
    <row r="349" spans="1:161" s="20" customFormat="1" x14ac:dyDescent="0.25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/>
      <c r="CB349"/>
      <c r="CC349"/>
      <c r="CD349"/>
      <c r="CE349"/>
      <c r="CF349"/>
      <c r="CG349"/>
      <c r="CH349"/>
      <c r="CI349"/>
      <c r="CJ349"/>
      <c r="CK349"/>
      <c r="CL349"/>
      <c r="CM349"/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</row>
    <row r="350" spans="1:161" x14ac:dyDescent="0.25">
      <c r="E350"/>
      <c r="K350"/>
    </row>
    <row r="351" spans="1:161" s="20" customFormat="1" x14ac:dyDescent="0.25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/>
      <c r="CC351"/>
      <c r="CD351"/>
      <c r="CE351"/>
      <c r="CF351"/>
      <c r="CG351"/>
      <c r="CH351"/>
      <c r="CI351"/>
      <c r="CJ351"/>
      <c r="CK351"/>
      <c r="CL351"/>
      <c r="CM351"/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</row>
    <row r="352" spans="1:161" x14ac:dyDescent="0.25">
      <c r="E352"/>
      <c r="K352"/>
    </row>
    <row r="353" spans="1:161" s="20" customFormat="1" x14ac:dyDescent="0.25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/>
      <c r="CB353"/>
      <c r="CC353"/>
      <c r="CD353"/>
      <c r="CE353"/>
      <c r="CF353"/>
      <c r="CG353"/>
      <c r="CH353"/>
      <c r="CI353"/>
      <c r="CJ353"/>
      <c r="CK353"/>
      <c r="CL353"/>
      <c r="CM353"/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</row>
    <row r="354" spans="1:161" x14ac:dyDescent="0.25">
      <c r="E354"/>
      <c r="K354"/>
    </row>
    <row r="355" spans="1:161" s="20" customFormat="1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</row>
    <row r="356" spans="1:161" s="20" customFormat="1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</row>
    <row r="357" spans="1:161" s="20" customFormat="1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</row>
    <row r="358" spans="1:161" s="20" customFormat="1" x14ac:dyDescent="0.25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/>
      <c r="CH358"/>
      <c r="CI358"/>
      <c r="CJ358"/>
      <c r="CK358"/>
      <c r="CL358"/>
      <c r="CM358"/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</row>
    <row r="359" spans="1:161" x14ac:dyDescent="0.25">
      <c r="E359"/>
      <c r="K359"/>
    </row>
    <row r="360" spans="1:161" s="20" customFormat="1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</row>
    <row r="361" spans="1:161" s="20" customFormat="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</row>
    <row r="362" spans="1:161" s="20" customFormat="1" x14ac:dyDescent="0.25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/>
      <c r="CC362"/>
      <c r="CD362"/>
      <c r="CE362"/>
      <c r="CF362"/>
      <c r="CG362"/>
      <c r="CH362"/>
      <c r="CI362"/>
      <c r="CJ362"/>
      <c r="CK362"/>
      <c r="CL362"/>
      <c r="CM362"/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</row>
    <row r="363" spans="1:161" x14ac:dyDescent="0.25">
      <c r="E363"/>
      <c r="K363"/>
    </row>
    <row r="364" spans="1:161" s="20" customFormat="1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</row>
    <row r="365" spans="1:161" s="20" customFormat="1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</row>
    <row r="366" spans="1:161" s="20" customFormat="1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</row>
    <row r="367" spans="1:161" s="20" customFormat="1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</row>
    <row r="368" spans="1:161" s="20" customFormat="1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</row>
    <row r="369" spans="1:161" s="20" customFormat="1" x14ac:dyDescent="0.25">
      <c r="A369"/>
      <c r="B369"/>
      <c r="C369"/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/>
      <c r="CB369"/>
      <c r="CC369"/>
      <c r="CD369"/>
      <c r="CE369"/>
      <c r="CF369"/>
      <c r="CG369"/>
      <c r="CH369"/>
      <c r="CI369"/>
      <c r="CJ369"/>
      <c r="CK369"/>
      <c r="CL369"/>
      <c r="CM369"/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</row>
    <row r="370" spans="1:161" x14ac:dyDescent="0.25">
      <c r="E370"/>
      <c r="K370"/>
    </row>
    <row r="371" spans="1:161" s="20" customFormat="1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</row>
    <row r="372" spans="1:161" s="20" customFormat="1" x14ac:dyDescent="0.25">
      <c r="A372"/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/>
      <c r="CB372"/>
      <c r="CC372"/>
      <c r="CD372"/>
      <c r="CE372"/>
      <c r="CF372"/>
      <c r="CG372"/>
      <c r="CH372"/>
      <c r="CI372"/>
      <c r="CJ372"/>
      <c r="CK372"/>
      <c r="CL372"/>
      <c r="CM372"/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</row>
    <row r="373" spans="1:161" x14ac:dyDescent="0.25">
      <c r="E373"/>
      <c r="K373"/>
    </row>
    <row r="374" spans="1:161" s="20" customFormat="1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</row>
    <row r="375" spans="1:161" s="20" customFormat="1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</row>
    <row r="376" spans="1:161" s="20" customFormat="1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</row>
    <row r="377" spans="1:161" s="20" customFormat="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</row>
    <row r="378" spans="1:161" s="20" customFormat="1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</row>
    <row r="379" spans="1:161" s="20" customFormat="1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</row>
    <row r="380" spans="1:161" s="20" customFormat="1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</row>
    <row r="381" spans="1:161" s="20" customFormat="1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</row>
    <row r="382" spans="1:161" s="20" customFormat="1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</row>
    <row r="383" spans="1:161" s="20" customFormat="1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</row>
    <row r="384" spans="1:161" s="20" customFormat="1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</row>
    <row r="385" spans="1:161" s="20" customFormat="1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</row>
    <row r="386" spans="1:161" s="20" customFormat="1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</row>
    <row r="387" spans="1:161" s="20" customFormat="1" x14ac:dyDescent="0.25">
      <c r="A387"/>
      <c r="B387"/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/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</row>
    <row r="388" spans="1:161" x14ac:dyDescent="0.25">
      <c r="E388"/>
      <c r="K388"/>
    </row>
    <row r="389" spans="1:161" s="20" customFormat="1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</row>
    <row r="390" spans="1:161" s="20" customFormat="1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</row>
    <row r="391" spans="1:161" s="20" customFormat="1" x14ac:dyDescent="0.25">
      <c r="A391"/>
      <c r="B391"/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/>
      <c r="CH391"/>
      <c r="CI391"/>
      <c r="CJ391"/>
      <c r="CK391"/>
      <c r="CL391"/>
      <c r="CM391"/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</row>
    <row r="392" spans="1:161" x14ac:dyDescent="0.25">
      <c r="E392"/>
      <c r="K392"/>
    </row>
    <row r="393" spans="1:161" s="20" customFormat="1" x14ac:dyDescent="0.25">
      <c r="A393"/>
      <c r="B393"/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/>
      <c r="CB393"/>
      <c r="CC393"/>
      <c r="CD393"/>
      <c r="CE393"/>
      <c r="CF393"/>
      <c r="CG393"/>
      <c r="CH393"/>
      <c r="CI393"/>
      <c r="CJ393"/>
      <c r="CK393"/>
      <c r="CL393"/>
      <c r="CM393"/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</row>
    <row r="394" spans="1:161" x14ac:dyDescent="0.25">
      <c r="E394"/>
      <c r="K394"/>
    </row>
    <row r="395" spans="1:161" s="20" customFormat="1" x14ac:dyDescent="0.25">
      <c r="A395"/>
      <c r="B395"/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/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</row>
    <row r="396" spans="1:161" x14ac:dyDescent="0.25">
      <c r="E396"/>
      <c r="K396"/>
    </row>
    <row r="397" spans="1:161" s="20" customFormat="1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</row>
    <row r="398" spans="1:161" s="20" customFormat="1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</row>
    <row r="399" spans="1:161" s="20" customFormat="1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</row>
    <row r="400" spans="1:161" s="20" customFormat="1" x14ac:dyDescent="0.25">
      <c r="A400"/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/>
      <c r="CB400"/>
      <c r="CC400"/>
      <c r="CD400"/>
      <c r="CE400"/>
      <c r="CF400"/>
      <c r="CG400"/>
      <c r="CH400"/>
      <c r="CI400"/>
      <c r="CJ400"/>
      <c r="CK400"/>
      <c r="CL400"/>
      <c r="CM400"/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</row>
    <row r="401" spans="1:161" x14ac:dyDescent="0.25">
      <c r="E401"/>
      <c r="K401"/>
    </row>
    <row r="402" spans="1:161" s="20" customFormat="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</row>
    <row r="403" spans="1:161" s="20" customFormat="1" x14ac:dyDescent="0.25">
      <c r="A403"/>
      <c r="B403"/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/>
      <c r="CB403"/>
      <c r="CC403"/>
      <c r="CD403"/>
      <c r="CE403"/>
      <c r="CF403"/>
      <c r="CG403"/>
      <c r="CH403"/>
      <c r="CI403"/>
      <c r="CJ403"/>
      <c r="CK403"/>
      <c r="CL403"/>
      <c r="CM403"/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</row>
    <row r="404" spans="1:161" x14ac:dyDescent="0.25">
      <c r="E404"/>
      <c r="K404"/>
    </row>
    <row r="405" spans="1:161" x14ac:dyDescent="0.25">
      <c r="E405"/>
      <c r="K405"/>
    </row>
    <row r="406" spans="1:161" x14ac:dyDescent="0.25">
      <c r="E406"/>
      <c r="K406"/>
    </row>
    <row r="407" spans="1:161" x14ac:dyDescent="0.25">
      <c r="E407"/>
      <c r="K407"/>
    </row>
    <row r="408" spans="1:161" x14ac:dyDescent="0.25">
      <c r="E408"/>
      <c r="K408"/>
    </row>
    <row r="409" spans="1:161" x14ac:dyDescent="0.25">
      <c r="E409"/>
      <c r="K409"/>
    </row>
    <row r="410" spans="1:161" x14ac:dyDescent="0.25">
      <c r="E410"/>
      <c r="K410"/>
    </row>
    <row r="411" spans="1:161" x14ac:dyDescent="0.25">
      <c r="E411"/>
      <c r="K411"/>
    </row>
    <row r="412" spans="1:161" x14ac:dyDescent="0.25">
      <c r="E412"/>
      <c r="K412"/>
    </row>
    <row r="413" spans="1:161" x14ac:dyDescent="0.25">
      <c r="E413"/>
      <c r="K413"/>
    </row>
    <row r="414" spans="1:161" x14ac:dyDescent="0.25">
      <c r="E414"/>
      <c r="K414"/>
    </row>
    <row r="415" spans="1:161" x14ac:dyDescent="0.25">
      <c r="E415"/>
      <c r="K415"/>
    </row>
    <row r="416" spans="1:161" x14ac:dyDescent="0.25">
      <c r="E416"/>
      <c r="K416"/>
    </row>
    <row r="417" spans="5:11" x14ac:dyDescent="0.25">
      <c r="E417"/>
      <c r="K417"/>
    </row>
    <row r="418" spans="5:11" x14ac:dyDescent="0.25">
      <c r="E418"/>
      <c r="K418"/>
    </row>
    <row r="419" spans="5:11" x14ac:dyDescent="0.25">
      <c r="E419"/>
      <c r="K419"/>
    </row>
    <row r="420" spans="5:11" x14ac:dyDescent="0.25">
      <c r="E420"/>
      <c r="K420"/>
    </row>
    <row r="421" spans="5:11" x14ac:dyDescent="0.25">
      <c r="E421"/>
      <c r="K421"/>
    </row>
    <row r="422" spans="5:11" x14ac:dyDescent="0.25">
      <c r="E422"/>
      <c r="K422"/>
    </row>
    <row r="423" spans="5:11" x14ac:dyDescent="0.25">
      <c r="E423"/>
      <c r="K423"/>
    </row>
    <row r="424" spans="5:11" x14ac:dyDescent="0.25">
      <c r="E424"/>
      <c r="K424"/>
    </row>
    <row r="425" spans="5:11" x14ac:dyDescent="0.25">
      <c r="E425"/>
      <c r="K425"/>
    </row>
    <row r="426" spans="5:11" x14ac:dyDescent="0.25">
      <c r="E426"/>
      <c r="K426"/>
    </row>
    <row r="427" spans="5:11" x14ac:dyDescent="0.25">
      <c r="E427"/>
      <c r="K427"/>
    </row>
    <row r="428" spans="5:11" x14ac:dyDescent="0.25">
      <c r="E428"/>
      <c r="K428"/>
    </row>
    <row r="429" spans="5:11" x14ac:dyDescent="0.25">
      <c r="E429"/>
      <c r="K429"/>
    </row>
    <row r="430" spans="5:11" x14ac:dyDescent="0.25">
      <c r="E430"/>
      <c r="K430"/>
    </row>
    <row r="431" spans="5:11" x14ac:dyDescent="0.25">
      <c r="E431"/>
      <c r="K431"/>
    </row>
    <row r="432" spans="5:11" x14ac:dyDescent="0.25">
      <c r="E432"/>
      <c r="K432"/>
    </row>
    <row r="433" spans="5:11" x14ac:dyDescent="0.25">
      <c r="E433"/>
      <c r="K433"/>
    </row>
    <row r="434" spans="5:11" x14ac:dyDescent="0.25">
      <c r="E434"/>
      <c r="K434"/>
    </row>
    <row r="435" spans="5:11" x14ac:dyDescent="0.25">
      <c r="E435"/>
      <c r="K435"/>
    </row>
    <row r="436" spans="5:11" x14ac:dyDescent="0.25">
      <c r="E436"/>
      <c r="K436"/>
    </row>
    <row r="437" spans="5:11" x14ac:dyDescent="0.25">
      <c r="E437"/>
      <c r="K437"/>
    </row>
    <row r="438" spans="5:11" x14ac:dyDescent="0.25">
      <c r="E438"/>
      <c r="K438"/>
    </row>
    <row r="439" spans="5:11" x14ac:dyDescent="0.25">
      <c r="E439"/>
      <c r="K439"/>
    </row>
    <row r="440" spans="5:11" x14ac:dyDescent="0.25">
      <c r="E440"/>
      <c r="K440"/>
    </row>
    <row r="441" spans="5:11" x14ac:dyDescent="0.25">
      <c r="E441"/>
      <c r="K441"/>
    </row>
    <row r="442" spans="5:11" x14ac:dyDescent="0.25">
      <c r="E442"/>
      <c r="K442"/>
    </row>
    <row r="443" spans="5:11" x14ac:dyDescent="0.25">
      <c r="E443"/>
      <c r="K443"/>
    </row>
    <row r="444" spans="5:11" x14ac:dyDescent="0.25">
      <c r="E444"/>
      <c r="K444"/>
    </row>
    <row r="445" spans="5:11" x14ac:dyDescent="0.25">
      <c r="E445"/>
      <c r="K445"/>
    </row>
    <row r="446" spans="5:11" x14ac:dyDescent="0.25">
      <c r="E446"/>
      <c r="K446"/>
    </row>
    <row r="447" spans="5:11" x14ac:dyDescent="0.25">
      <c r="E447"/>
      <c r="K447"/>
    </row>
    <row r="448" spans="5:11" x14ac:dyDescent="0.25">
      <c r="E448"/>
      <c r="K448"/>
    </row>
    <row r="449" spans="5:11" x14ac:dyDescent="0.25">
      <c r="E449"/>
      <c r="K449"/>
    </row>
    <row r="450" spans="5:11" x14ac:dyDescent="0.25">
      <c r="E450"/>
      <c r="K450"/>
    </row>
    <row r="451" spans="5:11" x14ac:dyDescent="0.25">
      <c r="E451"/>
      <c r="K451"/>
    </row>
    <row r="452" spans="5:11" x14ac:dyDescent="0.25">
      <c r="E452"/>
      <c r="K452"/>
    </row>
    <row r="453" spans="5:11" x14ac:dyDescent="0.25">
      <c r="E453"/>
      <c r="K453"/>
    </row>
    <row r="454" spans="5:11" x14ac:dyDescent="0.25">
      <c r="E454"/>
      <c r="K454"/>
    </row>
    <row r="455" spans="5:11" x14ac:dyDescent="0.25">
      <c r="E455"/>
      <c r="K455"/>
    </row>
    <row r="456" spans="5:11" x14ac:dyDescent="0.25">
      <c r="E456"/>
      <c r="K456"/>
    </row>
    <row r="457" spans="5:11" x14ac:dyDescent="0.25">
      <c r="E457"/>
      <c r="K457"/>
    </row>
  </sheetData>
  <mergeCells count="3">
    <mergeCell ref="A1:D1"/>
    <mergeCell ref="G1:J1"/>
    <mergeCell ref="M1:P1"/>
  </mergeCells>
  <phoneticPr fontId="10" type="noConversion"/>
  <conditionalFormatting sqref="B3">
    <cfRule type="cellIs" dxfId="45" priority="32" operator="greaterThan">
      <formula>1</formula>
    </cfRule>
  </conditionalFormatting>
  <conditionalFormatting sqref="B40:B41 B153:B154 B97:B98">
    <cfRule type="expression" dxfId="44" priority="33">
      <formula>#REF!&gt;#REF!</formula>
    </cfRule>
  </conditionalFormatting>
  <conditionalFormatting sqref="B60">
    <cfRule type="cellIs" dxfId="43" priority="31" operator="greaterThan">
      <formula>1</formula>
    </cfRule>
  </conditionalFormatting>
  <conditionalFormatting sqref="B116">
    <cfRule type="cellIs" dxfId="42" priority="30" operator="greaterThan">
      <formula>1</formula>
    </cfRule>
  </conditionalFormatting>
  <conditionalFormatting sqref="H3">
    <cfRule type="cellIs" dxfId="21" priority="9" operator="greaterThan">
      <formula>1</formula>
    </cfRule>
  </conditionalFormatting>
  <conditionalFormatting sqref="H40:H41 H97:H98 H153:H154">
    <cfRule type="expression" dxfId="20" priority="10">
      <formula>#REF!&gt;#REF!</formula>
    </cfRule>
  </conditionalFormatting>
  <conditionalFormatting sqref="H60">
    <cfRule type="cellIs" dxfId="19" priority="8" operator="greaterThan">
      <formula>1</formula>
    </cfRule>
  </conditionalFormatting>
  <conditionalFormatting sqref="H116">
    <cfRule type="cellIs" dxfId="18" priority="7" operator="greaterThan">
      <formula>1</formula>
    </cfRule>
  </conditionalFormatting>
  <conditionalFormatting sqref="N3">
    <cfRule type="cellIs" dxfId="16" priority="4" operator="greaterThan">
      <formula>1</formula>
    </cfRule>
  </conditionalFormatting>
  <conditionalFormatting sqref="N40:N41 N97:N98 N153:N154">
    <cfRule type="expression" dxfId="15" priority="5">
      <formula>#REF!&gt;#REF!</formula>
    </cfRule>
  </conditionalFormatting>
  <conditionalFormatting sqref="N60">
    <cfRule type="cellIs" dxfId="14" priority="3" operator="greaterThan">
      <formula>1</formula>
    </cfRule>
  </conditionalFormatting>
  <conditionalFormatting sqref="N116">
    <cfRule type="cellIs" dxfId="13" priority="2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02212-DA30-4038-A838-FE9365D687EA}">
  <dimension ref="A1:FE456"/>
  <sheetViews>
    <sheetView zoomScale="89" zoomScaleNormal="89" workbookViewId="0">
      <selection activeCell="B146" sqref="B146"/>
    </sheetView>
  </sheetViews>
  <sheetFormatPr defaultRowHeight="15" x14ac:dyDescent="0.25"/>
  <cols>
    <col min="1" max="1" width="38.42578125" bestFit="1" customWidth="1"/>
    <col min="2" max="2" width="30.28515625" bestFit="1" customWidth="1"/>
    <col min="3" max="3" width="27.7109375" bestFit="1" customWidth="1"/>
    <col min="4" max="4" width="17.7109375" bestFit="1" customWidth="1"/>
    <col min="5" max="5" width="5.7109375" style="21" customWidth="1"/>
    <col min="6" max="6" width="5.28515625" customWidth="1"/>
    <col min="7" max="7" width="38.42578125" bestFit="1" customWidth="1"/>
    <col min="8" max="8" width="30.42578125" bestFit="1" customWidth="1"/>
    <col min="9" max="9" width="27.7109375" bestFit="1" customWidth="1"/>
    <col min="10" max="10" width="17.5703125" customWidth="1"/>
    <col min="11" max="11" width="5.42578125" style="20" customWidth="1"/>
    <col min="12" max="12" width="3.42578125" customWidth="1"/>
    <col min="13" max="13" width="27.7109375" bestFit="1" customWidth="1"/>
    <col min="14" max="14" width="22" customWidth="1"/>
    <col min="15" max="15" width="27.7109375" bestFit="1" customWidth="1"/>
    <col min="16" max="16" width="17.5703125" bestFit="1" customWidth="1"/>
    <col min="18" max="19" width="23.42578125" bestFit="1" customWidth="1"/>
    <col min="20" max="20" width="12" bestFit="1" customWidth="1"/>
  </cols>
  <sheetData>
    <row r="1" spans="1:16" ht="46.5" x14ac:dyDescent="0.7">
      <c r="A1" s="22" t="s">
        <v>0</v>
      </c>
      <c r="B1" s="22"/>
      <c r="C1" s="22"/>
      <c r="D1" s="23"/>
      <c r="E1"/>
      <c r="K1"/>
    </row>
    <row r="2" spans="1:16" x14ac:dyDescent="0.25">
      <c r="B2" s="1" t="s">
        <v>1</v>
      </c>
      <c r="C2" s="1">
        <v>4</v>
      </c>
      <c r="E2"/>
      <c r="H2" s="1" t="s">
        <v>1</v>
      </c>
      <c r="I2" s="1">
        <v>4</v>
      </c>
      <c r="K2"/>
      <c r="N2" s="1" t="s">
        <v>1</v>
      </c>
      <c r="O2" s="1">
        <v>4</v>
      </c>
    </row>
    <row r="3" spans="1:16" x14ac:dyDescent="0.25">
      <c r="A3" s="2" t="s">
        <v>2</v>
      </c>
      <c r="B3" s="3">
        <f>D9*D4/C9</f>
        <v>0.32399576719576723</v>
      </c>
      <c r="C3" s="1" t="s">
        <v>3</v>
      </c>
      <c r="D3" s="4" t="s">
        <v>4</v>
      </c>
      <c r="E3"/>
      <c r="G3" s="2" t="s">
        <v>2</v>
      </c>
      <c r="H3" s="3">
        <f>J9*J4/I9</f>
        <v>0.16253968253968251</v>
      </c>
      <c r="I3" s="1" t="s">
        <v>3</v>
      </c>
      <c r="J3" s="4" t="s">
        <v>4</v>
      </c>
      <c r="K3"/>
      <c r="M3" s="2" t="s">
        <v>2</v>
      </c>
      <c r="N3" s="3">
        <f>P9*P4/O9</f>
        <v>0.65015873015873005</v>
      </c>
      <c r="O3" s="1" t="s">
        <v>3</v>
      </c>
      <c r="P3" s="4" t="s">
        <v>4</v>
      </c>
    </row>
    <row r="4" spans="1:16" x14ac:dyDescent="0.25">
      <c r="A4" s="2" t="s">
        <v>5</v>
      </c>
      <c r="B4" s="2">
        <f>POWER(2,C4)</f>
        <v>1024</v>
      </c>
      <c r="C4" s="1">
        <v>10</v>
      </c>
      <c r="D4" s="2">
        <f>B4/B5</f>
        <v>1.3544973544973544</v>
      </c>
      <c r="E4"/>
      <c r="G4" s="2" t="s">
        <v>5</v>
      </c>
      <c r="H4" s="2">
        <f>POWER(2,I4)</f>
        <v>1024</v>
      </c>
      <c r="I4" s="1">
        <v>10</v>
      </c>
      <c r="J4" s="2">
        <f>H4/H5</f>
        <v>1.3544973544973544</v>
      </c>
      <c r="K4"/>
      <c r="M4" s="2" t="s">
        <v>5</v>
      </c>
      <c r="N4" s="2">
        <f>POWER(2,O4)</f>
        <v>1024</v>
      </c>
      <c r="O4" s="1">
        <v>10</v>
      </c>
      <c r="P4" s="2">
        <f>N4/N5</f>
        <v>1.3544973544973544</v>
      </c>
    </row>
    <row r="5" spans="1:16" x14ac:dyDescent="0.25">
      <c r="A5" s="5" t="s">
        <v>6</v>
      </c>
      <c r="B5" s="5">
        <v>756</v>
      </c>
      <c r="E5"/>
      <c r="G5" s="5" t="s">
        <v>6</v>
      </c>
      <c r="H5" s="5">
        <v>756</v>
      </c>
      <c r="K5"/>
      <c r="M5" s="5" t="s">
        <v>6</v>
      </c>
      <c r="N5" s="5">
        <v>756</v>
      </c>
    </row>
    <row r="6" spans="1:16" x14ac:dyDescent="0.25">
      <c r="A6" s="5" t="s">
        <v>7</v>
      </c>
      <c r="B6" s="5">
        <v>6</v>
      </c>
      <c r="E6"/>
      <c r="G6" s="5" t="s">
        <v>7</v>
      </c>
      <c r="H6" s="5">
        <v>6</v>
      </c>
      <c r="K6"/>
      <c r="M6" s="5" t="s">
        <v>7</v>
      </c>
      <c r="N6" s="5">
        <v>6</v>
      </c>
    </row>
    <row r="7" spans="1:16" x14ac:dyDescent="0.25">
      <c r="E7"/>
      <c r="K7"/>
    </row>
    <row r="8" spans="1:16" x14ac:dyDescent="0.25">
      <c r="A8" s="2" t="s">
        <v>8</v>
      </c>
      <c r="B8" s="1" t="s">
        <v>9</v>
      </c>
      <c r="C8" s="2" t="s">
        <v>10</v>
      </c>
      <c r="D8" s="1" t="s">
        <v>11</v>
      </c>
      <c r="E8"/>
      <c r="G8" s="2" t="s">
        <v>8</v>
      </c>
      <c r="H8" s="1" t="s">
        <v>9</v>
      </c>
      <c r="I8" s="2" t="s">
        <v>10</v>
      </c>
      <c r="J8" s="1" t="s">
        <v>11</v>
      </c>
      <c r="K8"/>
      <c r="M8" s="2" t="s">
        <v>8</v>
      </c>
      <c r="N8" s="1" t="s">
        <v>9</v>
      </c>
      <c r="O8" s="2" t="s">
        <v>10</v>
      </c>
      <c r="P8" s="1" t="s">
        <v>11</v>
      </c>
    </row>
    <row r="9" spans="1:16" x14ac:dyDescent="0.25">
      <c r="A9" s="2">
        <f>B3/(1-B3)*(D4+B9)/2/D4+D9/C9*(1+D4)/(1+D9/C9)</f>
        <v>1.1968067722195102</v>
      </c>
      <c r="B9" s="1">
        <v>2.8412700000000002</v>
      </c>
      <c r="C9" s="6">
        <f>1/C10*1000</f>
        <v>33.444816053511701</v>
      </c>
      <c r="D9" s="1">
        <v>8</v>
      </c>
      <c r="E9"/>
      <c r="G9" s="2">
        <f>H3/(1-H3)*(J4+H9)/2/J4+J9/I9*(1+J4)/(1+J9/I9)</f>
        <v>0.55287410515937474</v>
      </c>
      <c r="H9" s="1">
        <v>2.8412700000000002</v>
      </c>
      <c r="I9" s="6">
        <f>1/I10*1000</f>
        <v>33.333333333333336</v>
      </c>
      <c r="J9" s="1">
        <v>4</v>
      </c>
      <c r="K9"/>
      <c r="M9" s="2">
        <f>N3/(1-N3)*(P4+N9)/2/P4+P9/O9*(1+P4)/(1+P9/O9)</f>
        <v>3.6420237763249363</v>
      </c>
      <c r="N9" s="1">
        <v>2.8412700000000002</v>
      </c>
      <c r="O9" s="6">
        <f>1/O10*1000</f>
        <v>33.333333333333336</v>
      </c>
      <c r="P9" s="1">
        <v>16</v>
      </c>
    </row>
    <row r="10" spans="1:16" x14ac:dyDescent="0.25">
      <c r="B10" s="1" t="s">
        <v>12</v>
      </c>
      <c r="C10" s="7">
        <v>29.9</v>
      </c>
      <c r="E10"/>
      <c r="H10" s="1" t="s">
        <v>12</v>
      </c>
      <c r="I10" s="7">
        <v>30</v>
      </c>
      <c r="K10"/>
      <c r="N10" s="1" t="s">
        <v>12</v>
      </c>
      <c r="O10" s="7">
        <v>30</v>
      </c>
    </row>
    <row r="11" spans="1:16" x14ac:dyDescent="0.25">
      <c r="E11"/>
      <c r="K11"/>
    </row>
    <row r="12" spans="1:16" x14ac:dyDescent="0.25">
      <c r="A12" s="2" t="s">
        <v>13</v>
      </c>
      <c r="B12" s="2">
        <f>(C4+2)*C2</f>
        <v>48</v>
      </c>
      <c r="E12"/>
      <c r="G12" s="2" t="s">
        <v>13</v>
      </c>
      <c r="H12" s="2">
        <f>(I4+2)*I2</f>
        <v>48</v>
      </c>
      <c r="K12"/>
      <c r="M12" s="2" t="s">
        <v>13</v>
      </c>
      <c r="N12" s="2">
        <f>(O4+2)*O2</f>
        <v>48</v>
      </c>
    </row>
    <row r="13" spans="1:16" x14ac:dyDescent="0.25">
      <c r="C13" s="1" t="s">
        <v>14</v>
      </c>
      <c r="D13" s="1">
        <v>24</v>
      </c>
      <c r="E13"/>
      <c r="I13" s="1" t="s">
        <v>14</v>
      </c>
      <c r="J13" s="1">
        <v>24</v>
      </c>
      <c r="K13"/>
      <c r="O13" s="1" t="s">
        <v>14</v>
      </c>
      <c r="P13" s="1">
        <v>24</v>
      </c>
    </row>
    <row r="14" spans="1:16" x14ac:dyDescent="0.25">
      <c r="A14" s="1" t="s">
        <v>15</v>
      </c>
      <c r="B14" s="1">
        <v>29</v>
      </c>
      <c r="D14" t="s">
        <v>16</v>
      </c>
      <c r="E14"/>
      <c r="G14" s="1" t="s">
        <v>15</v>
      </c>
      <c r="H14" s="1">
        <v>29</v>
      </c>
      <c r="J14" t="s">
        <v>16</v>
      </c>
      <c r="K14"/>
      <c r="M14" s="1" t="s">
        <v>15</v>
      </c>
      <c r="N14" s="1">
        <v>29</v>
      </c>
      <c r="P14" t="s">
        <v>16</v>
      </c>
    </row>
    <row r="15" spans="1:16" x14ac:dyDescent="0.25">
      <c r="E15"/>
      <c r="K15"/>
    </row>
    <row r="16" spans="1:16" x14ac:dyDescent="0.25">
      <c r="A16" s="7" t="s">
        <v>17</v>
      </c>
      <c r="B16" s="2" t="s">
        <v>18</v>
      </c>
      <c r="C16" s="7" t="s">
        <v>19</v>
      </c>
      <c r="E16"/>
      <c r="G16" s="7" t="s">
        <v>17</v>
      </c>
      <c r="H16" s="2" t="s">
        <v>18</v>
      </c>
      <c r="I16" s="7" t="s">
        <v>19</v>
      </c>
      <c r="K16"/>
      <c r="M16" s="7" t="s">
        <v>17</v>
      </c>
      <c r="N16" s="2" t="s">
        <v>18</v>
      </c>
      <c r="O16" s="7" t="s">
        <v>19</v>
      </c>
    </row>
    <row r="17" spans="1:16" x14ac:dyDescent="0.25">
      <c r="A17" s="7">
        <f>2779+2809</f>
        <v>5588</v>
      </c>
      <c r="B17" s="8">
        <f>A17+C17</f>
        <v>8658</v>
      </c>
      <c r="C17" s="7">
        <v>3070</v>
      </c>
      <c r="E17"/>
      <c r="G17" s="7">
        <f>2775+2730</f>
        <v>5505</v>
      </c>
      <c r="H17" s="8">
        <f>G17+I17</f>
        <v>17232</v>
      </c>
      <c r="I17" s="7">
        <v>11727</v>
      </c>
      <c r="K17"/>
      <c r="M17" s="7">
        <f>2737+1551</f>
        <v>4288</v>
      </c>
      <c r="N17" s="8">
        <f>M17+O17</f>
        <v>4303</v>
      </c>
      <c r="O17" s="7">
        <v>15</v>
      </c>
    </row>
    <row r="18" spans="1:16" x14ac:dyDescent="0.25">
      <c r="A18" s="2" t="s">
        <v>20</v>
      </c>
      <c r="B18" s="8" t="s">
        <v>21</v>
      </c>
      <c r="C18" s="8" t="s">
        <v>22</v>
      </c>
      <c r="E18"/>
      <c r="G18" s="2" t="s">
        <v>20</v>
      </c>
      <c r="H18" s="8" t="s">
        <v>21</v>
      </c>
      <c r="I18" s="8" t="s">
        <v>22</v>
      </c>
      <c r="K18"/>
      <c r="M18" s="2" t="s">
        <v>20</v>
      </c>
      <c r="N18" s="8" t="s">
        <v>21</v>
      </c>
      <c r="O18" s="8" t="s">
        <v>22</v>
      </c>
    </row>
    <row r="19" spans="1:16" x14ac:dyDescent="0.25">
      <c r="A19" s="8">
        <f>A17</f>
        <v>5588</v>
      </c>
      <c r="B19" s="9">
        <f>B17*B12</f>
        <v>415584</v>
      </c>
      <c r="C19" s="8">
        <f>C17*B12</f>
        <v>147360</v>
      </c>
      <c r="E19"/>
      <c r="G19" s="8">
        <f>G17</f>
        <v>5505</v>
      </c>
      <c r="H19" s="9">
        <f>H17*H12</f>
        <v>827136</v>
      </c>
      <c r="I19" s="8">
        <f>I17*H12</f>
        <v>562896</v>
      </c>
      <c r="K19"/>
      <c r="M19" s="8">
        <f>M17</f>
        <v>4288</v>
      </c>
      <c r="N19" s="9">
        <f>N17*N12</f>
        <v>206544</v>
      </c>
      <c r="O19" s="8">
        <f>O17*N12</f>
        <v>720</v>
      </c>
    </row>
    <row r="20" spans="1:16" x14ac:dyDescent="0.25">
      <c r="E20"/>
      <c r="K20"/>
    </row>
    <row r="21" spans="1:16" x14ac:dyDescent="0.25">
      <c r="A21" s="2" t="s">
        <v>23</v>
      </c>
      <c r="B21" s="2">
        <f>B14*B12/1024</f>
        <v>1.359375</v>
      </c>
      <c r="E21"/>
      <c r="G21" s="2" t="s">
        <v>23</v>
      </c>
      <c r="H21" s="2">
        <f>H14*H12/1024</f>
        <v>1.359375</v>
      </c>
      <c r="K21"/>
      <c r="M21" s="2" t="s">
        <v>23</v>
      </c>
      <c r="N21" s="2">
        <f>N14*N12/1024</f>
        <v>1.359375</v>
      </c>
    </row>
    <row r="22" spans="1:16" x14ac:dyDescent="0.25">
      <c r="A22" s="2" t="s">
        <v>24</v>
      </c>
      <c r="B22" s="10">
        <f>(B14*C19+C17*D13*1024)/POWER(1024, 3)</f>
        <v>7.4246674776077271E-2</v>
      </c>
      <c r="C22" s="8" t="s">
        <v>25</v>
      </c>
      <c r="D22" s="8">
        <f>B22/B40*POWER(1024,2)</f>
        <v>18.993237679921933</v>
      </c>
      <c r="E22"/>
      <c r="G22" s="2" t="s">
        <v>24</v>
      </c>
      <c r="H22" s="10">
        <f>(H14*I19+I17*J13*1024)/POWER(1024, 3)</f>
        <v>0.28361262381076813</v>
      </c>
      <c r="I22" s="8" t="s">
        <v>25</v>
      </c>
      <c r="J22" s="8">
        <f>H22/H40*POWER(1024,2)</f>
        <v>72.533997713414635</v>
      </c>
      <c r="K22"/>
      <c r="M22" s="2" t="s">
        <v>24</v>
      </c>
      <c r="N22" s="10">
        <f>(N14*O19+O17*P13*1024)/POWER(1024, 3)</f>
        <v>3.6276876926422119E-4</v>
      </c>
      <c r="O22" s="8" t="s">
        <v>25</v>
      </c>
      <c r="P22" s="8">
        <f>N22/N40*POWER(1024,2)</f>
        <v>0.11762233302411874</v>
      </c>
    </row>
    <row r="23" spans="1:16" x14ac:dyDescent="0.25">
      <c r="A23" s="2" t="s">
        <v>26</v>
      </c>
      <c r="B23" s="11">
        <f>C19/A19</f>
        <v>26.370794559770939</v>
      </c>
      <c r="E23"/>
      <c r="G23" s="2" t="s">
        <v>26</v>
      </c>
      <c r="H23" s="11">
        <f>I19/G19</f>
        <v>102.25177111716621</v>
      </c>
      <c r="K23"/>
      <c r="M23" s="2" t="s">
        <v>26</v>
      </c>
      <c r="N23" s="11">
        <f>O19/M19</f>
        <v>0.16791044776119404</v>
      </c>
    </row>
    <row r="24" spans="1:16" x14ac:dyDescent="0.25">
      <c r="E24"/>
      <c r="K24"/>
    </row>
    <row r="25" spans="1:16" ht="32.25" thickBot="1" x14ac:dyDescent="0.55000000000000004">
      <c r="A25" s="12" t="s">
        <v>27</v>
      </c>
      <c r="B25" s="13">
        <v>1</v>
      </c>
      <c r="C25" s="2" t="s">
        <v>28</v>
      </c>
      <c r="E25"/>
      <c r="G25" s="12" t="s">
        <v>27</v>
      </c>
      <c r="H25" s="13">
        <v>1</v>
      </c>
      <c r="I25" s="2" t="s">
        <v>28</v>
      </c>
      <c r="K25"/>
      <c r="M25" s="12" t="s">
        <v>27</v>
      </c>
      <c r="N25" s="13">
        <v>1</v>
      </c>
      <c r="O25" s="2" t="s">
        <v>28</v>
      </c>
    </row>
    <row r="26" spans="1:16" ht="15.75" thickTop="1" x14ac:dyDescent="0.25">
      <c r="A26" s="7" t="s">
        <v>29</v>
      </c>
      <c r="B26" s="7">
        <v>4.3E-3</v>
      </c>
      <c r="C26" s="14">
        <f>B26/B4</f>
        <v>4.19921875E-6</v>
      </c>
      <c r="E26"/>
      <c r="G26" s="7" t="s">
        <v>29</v>
      </c>
      <c r="H26" s="7">
        <v>2.0999999999999999E-3</v>
      </c>
      <c r="I26" s="14">
        <f>H26/H4</f>
        <v>2.0507812499999999E-6</v>
      </c>
      <c r="K26"/>
      <c r="M26" s="7" t="s">
        <v>29</v>
      </c>
      <c r="N26" s="7">
        <v>9.4999999999999998E-3</v>
      </c>
      <c r="O26" s="14">
        <f>N26/N4</f>
        <v>9.2773437499999998E-6</v>
      </c>
    </row>
    <row r="27" spans="1:16" x14ac:dyDescent="0.25">
      <c r="A27" s="7" t="s">
        <v>30</v>
      </c>
      <c r="B27" s="7">
        <v>0</v>
      </c>
      <c r="C27" s="14">
        <f>B27/298</f>
        <v>0</v>
      </c>
      <c r="E27"/>
      <c r="G27" s="7" t="s">
        <v>30</v>
      </c>
      <c r="H27" s="7">
        <v>0</v>
      </c>
      <c r="I27" s="14">
        <f>H27/298</f>
        <v>0</v>
      </c>
      <c r="K27"/>
      <c r="M27" s="7" t="s">
        <v>30</v>
      </c>
      <c r="N27" s="7">
        <v>0</v>
      </c>
      <c r="O27" s="14">
        <f>N27/298</f>
        <v>0</v>
      </c>
    </row>
    <row r="28" spans="1:16" x14ac:dyDescent="0.25">
      <c r="A28" s="15">
        <v>0.75</v>
      </c>
      <c r="B28" s="7">
        <v>0</v>
      </c>
      <c r="C28" s="14">
        <f>B28/B4</f>
        <v>0</v>
      </c>
      <c r="E28"/>
      <c r="G28" s="15">
        <v>0.75</v>
      </c>
      <c r="H28" s="7">
        <v>0</v>
      </c>
      <c r="I28" s="14">
        <f>H28/H4</f>
        <v>0</v>
      </c>
      <c r="K28"/>
      <c r="M28" s="15">
        <v>0.75</v>
      </c>
      <c r="N28" s="7">
        <v>0</v>
      </c>
      <c r="O28" s="14">
        <f>N28/N4</f>
        <v>0</v>
      </c>
    </row>
    <row r="29" spans="1:16" x14ac:dyDescent="0.25">
      <c r="A29" s="7" t="s">
        <v>31</v>
      </c>
      <c r="B29" s="7">
        <v>12</v>
      </c>
      <c r="C29" s="14">
        <f>B29/B4</f>
        <v>1.171875E-2</v>
      </c>
      <c r="E29"/>
      <c r="G29" s="7" t="s">
        <v>31</v>
      </c>
      <c r="H29" s="7">
        <v>11</v>
      </c>
      <c r="I29" s="14">
        <f>H29/H4</f>
        <v>1.07421875E-2</v>
      </c>
      <c r="K29"/>
      <c r="M29" s="7" t="s">
        <v>31</v>
      </c>
      <c r="N29" s="7">
        <v>20</v>
      </c>
      <c r="O29" s="14">
        <f>N29/N4</f>
        <v>1.953125E-2</v>
      </c>
    </row>
    <row r="30" spans="1:16" x14ac:dyDescent="0.25">
      <c r="A30" s="7" t="s">
        <v>32</v>
      </c>
      <c r="B30" s="7">
        <v>0.1295</v>
      </c>
      <c r="C30" s="14">
        <f>B30/B4</f>
        <v>1.2646484375E-4</v>
      </c>
      <c r="E30"/>
      <c r="G30" s="7" t="s">
        <v>32</v>
      </c>
      <c r="H30" s="7">
        <v>8.14E-2</v>
      </c>
      <c r="I30" s="14">
        <f>H30/H4</f>
        <v>7.94921875E-5</v>
      </c>
      <c r="K30"/>
      <c r="M30" s="7" t="s">
        <v>32</v>
      </c>
      <c r="N30" s="7">
        <v>0.26169999999999999</v>
      </c>
      <c r="O30" s="14">
        <f>N30/N4</f>
        <v>2.5556640624999999E-4</v>
      </c>
    </row>
    <row r="31" spans="1:16" x14ac:dyDescent="0.25">
      <c r="A31" s="7"/>
      <c r="B31" s="7"/>
      <c r="C31" s="14"/>
      <c r="E31"/>
      <c r="G31" s="7"/>
      <c r="H31" s="7"/>
      <c r="I31" s="14"/>
      <c r="K31"/>
      <c r="M31" s="7"/>
      <c r="N31" s="7"/>
      <c r="O31" s="14"/>
    </row>
    <row r="32" spans="1:16" ht="32.25" thickBot="1" x14ac:dyDescent="0.55000000000000004">
      <c r="A32" s="12" t="s">
        <v>27</v>
      </c>
      <c r="B32" s="13">
        <v>2</v>
      </c>
      <c r="C32" s="2" t="s">
        <v>28</v>
      </c>
      <c r="E32"/>
      <c r="G32" s="12" t="s">
        <v>27</v>
      </c>
      <c r="H32" s="13">
        <v>2</v>
      </c>
      <c r="I32" s="2" t="s">
        <v>28</v>
      </c>
      <c r="K32"/>
      <c r="M32" s="12" t="s">
        <v>27</v>
      </c>
      <c r="N32" s="13">
        <v>2</v>
      </c>
      <c r="O32" s="2" t="s">
        <v>28</v>
      </c>
    </row>
    <row r="33" spans="1:15" ht="15.75" thickTop="1" x14ac:dyDescent="0.25">
      <c r="A33" s="7" t="s">
        <v>29</v>
      </c>
      <c r="B33" s="7">
        <v>2.92E-2</v>
      </c>
      <c r="C33" s="14" t="e">
        <f>B33/B11</f>
        <v>#DIV/0!</v>
      </c>
      <c r="E33"/>
      <c r="G33" s="7" t="s">
        <v>29</v>
      </c>
      <c r="H33" s="7">
        <v>8.8999999999999999E-3</v>
      </c>
      <c r="I33" s="14" t="e">
        <f>H33/H11</f>
        <v>#DIV/0!</v>
      </c>
      <c r="K33"/>
      <c r="M33" s="7" t="s">
        <v>29</v>
      </c>
      <c r="N33" s="7">
        <v>3.1654</v>
      </c>
      <c r="O33" s="14" t="e">
        <f>N33/N11</f>
        <v>#DIV/0!</v>
      </c>
    </row>
    <row r="34" spans="1:15" x14ac:dyDescent="0.25">
      <c r="A34" s="7" t="s">
        <v>30</v>
      </c>
      <c r="B34" s="7">
        <v>0</v>
      </c>
      <c r="C34" s="14">
        <f>B34/298</f>
        <v>0</v>
      </c>
      <c r="E34"/>
      <c r="G34" s="7" t="s">
        <v>30</v>
      </c>
      <c r="H34" s="7">
        <v>0</v>
      </c>
      <c r="I34" s="14">
        <f>H34/298</f>
        <v>0</v>
      </c>
      <c r="K34"/>
      <c r="M34" s="7" t="s">
        <v>30</v>
      </c>
      <c r="N34" s="7">
        <v>0</v>
      </c>
      <c r="O34" s="14">
        <f>N34/298</f>
        <v>0</v>
      </c>
    </row>
    <row r="35" spans="1:15" x14ac:dyDescent="0.25">
      <c r="A35" s="15">
        <v>0.75</v>
      </c>
      <c r="B35" s="7">
        <v>0</v>
      </c>
      <c r="C35" s="14" t="e">
        <f>B35/B11</f>
        <v>#DIV/0!</v>
      </c>
      <c r="E35"/>
      <c r="G35" s="15">
        <v>0.75</v>
      </c>
      <c r="H35" s="7">
        <v>0</v>
      </c>
      <c r="I35" s="14" t="e">
        <f>H35/H11</f>
        <v>#DIV/0!</v>
      </c>
      <c r="K35"/>
      <c r="M35" s="15">
        <v>0.75</v>
      </c>
      <c r="N35" s="7">
        <v>0</v>
      </c>
      <c r="O35" s="14" t="e">
        <f>N35/N11</f>
        <v>#DIV/0!</v>
      </c>
    </row>
    <row r="36" spans="1:15" x14ac:dyDescent="0.25">
      <c r="A36" s="7" t="s">
        <v>31</v>
      </c>
      <c r="B36" s="7">
        <v>26</v>
      </c>
      <c r="C36" s="14" t="e">
        <f>B36/B11</f>
        <v>#DIV/0!</v>
      </c>
      <c r="E36"/>
      <c r="G36" s="7" t="s">
        <v>31</v>
      </c>
      <c r="H36" s="7">
        <v>16</v>
      </c>
      <c r="I36" s="14" t="e">
        <f>H36/H11</f>
        <v>#DIV/0!</v>
      </c>
      <c r="K36"/>
      <c r="M36" s="7" t="s">
        <v>31</v>
      </c>
      <c r="N36" s="7">
        <v>11.72</v>
      </c>
      <c r="O36" s="14" t="e">
        <f>N36/N11</f>
        <v>#DIV/0!</v>
      </c>
    </row>
    <row r="37" spans="1:15" x14ac:dyDescent="0.25">
      <c r="A37" s="7" t="s">
        <v>32</v>
      </c>
      <c r="B37" s="7">
        <v>0.4798</v>
      </c>
      <c r="C37" s="14" t="e">
        <f>B37/B11</f>
        <v>#DIV/0!</v>
      </c>
      <c r="E37"/>
      <c r="G37" s="7" t="s">
        <v>32</v>
      </c>
      <c r="H37" s="7">
        <v>0.1802</v>
      </c>
      <c r="I37" s="14" t="e">
        <f>H37/H11</f>
        <v>#DIV/0!</v>
      </c>
      <c r="K37"/>
      <c r="M37" s="7" t="s">
        <v>32</v>
      </c>
      <c r="N37" s="7">
        <v>49.3093</v>
      </c>
      <c r="O37" s="14" t="e">
        <f>N37/N11</f>
        <v>#DIV/0!</v>
      </c>
    </row>
    <row r="38" spans="1:15" x14ac:dyDescent="0.25">
      <c r="E38"/>
      <c r="K38"/>
    </row>
    <row r="39" spans="1:15" x14ac:dyDescent="0.25">
      <c r="A39" s="1" t="s">
        <v>33</v>
      </c>
      <c r="B39" s="7" t="s">
        <v>34</v>
      </c>
      <c r="C39" s="2" t="s">
        <v>35</v>
      </c>
      <c r="E39"/>
      <c r="G39" s="1" t="s">
        <v>33</v>
      </c>
      <c r="H39" s="7" t="s">
        <v>34</v>
      </c>
      <c r="I39" s="2" t="s">
        <v>35</v>
      </c>
      <c r="K39"/>
      <c r="M39" s="1" t="s">
        <v>33</v>
      </c>
      <c r="N39" s="7" t="s">
        <v>34</v>
      </c>
      <c r="O39" s="2" t="s">
        <v>35</v>
      </c>
    </row>
    <row r="40" spans="1:15" x14ac:dyDescent="0.25">
      <c r="A40" s="1">
        <v>5000</v>
      </c>
      <c r="B40" s="16">
        <f>2050+2049</f>
        <v>4099</v>
      </c>
      <c r="C40" s="17">
        <f>B40/A40</f>
        <v>0.81979999999999997</v>
      </c>
      <c r="E40"/>
      <c r="G40" s="1">
        <v>5000</v>
      </c>
      <c r="H40" s="16">
        <f xml:space="preserve"> 2050+2050</f>
        <v>4100</v>
      </c>
      <c r="I40" s="17">
        <f>H40/G40</f>
        <v>0.82</v>
      </c>
      <c r="K40"/>
      <c r="M40" s="1">
        <v>5000</v>
      </c>
      <c r="N40" s="16">
        <f>2044+1190</f>
        <v>3234</v>
      </c>
      <c r="O40" s="17">
        <f>N40/M40</f>
        <v>0.64680000000000004</v>
      </c>
    </row>
    <row r="41" spans="1:15" x14ac:dyDescent="0.25">
      <c r="E41"/>
      <c r="K41"/>
    </row>
    <row r="42" spans="1:15" ht="32.25" thickBot="1" x14ac:dyDescent="0.55000000000000004">
      <c r="A42" s="12" t="s">
        <v>36</v>
      </c>
      <c r="B42" s="13">
        <v>1</v>
      </c>
      <c r="E42"/>
      <c r="G42" s="12" t="s">
        <v>36</v>
      </c>
      <c r="H42" s="13">
        <v>1</v>
      </c>
      <c r="K42"/>
      <c r="M42" s="12" t="s">
        <v>36</v>
      </c>
      <c r="N42" s="13">
        <v>1</v>
      </c>
    </row>
    <row r="43" spans="1:15" ht="15.75" thickTop="1" x14ac:dyDescent="0.25">
      <c r="A43" s="7" t="s">
        <v>29</v>
      </c>
      <c r="B43" s="7">
        <v>94.44</v>
      </c>
      <c r="E43"/>
      <c r="G43" s="7" t="s">
        <v>29</v>
      </c>
      <c r="H43" s="7">
        <f>83983.7787/1000</f>
        <v>83.983778700000002</v>
      </c>
      <c r="K43"/>
      <c r="M43" s="7" t="s">
        <v>29</v>
      </c>
      <c r="N43" s="7">
        <f>141466.2634/1000</f>
        <v>141.4662634</v>
      </c>
    </row>
    <row r="44" spans="1:15" x14ac:dyDescent="0.25">
      <c r="A44" s="7" t="s">
        <v>30</v>
      </c>
      <c r="B44" s="7">
        <v>65.7</v>
      </c>
      <c r="E44"/>
      <c r="G44" s="7" t="s">
        <v>30</v>
      </c>
      <c r="H44" s="7">
        <f>57399/1000</f>
        <v>57.399000000000001</v>
      </c>
      <c r="K44"/>
      <c r="M44" s="7" t="s">
        <v>30</v>
      </c>
      <c r="N44" s="7">
        <f>104075/1000</f>
        <v>104.075</v>
      </c>
    </row>
    <row r="45" spans="1:15" x14ac:dyDescent="0.25">
      <c r="A45" s="15">
        <f>75%</f>
        <v>0.75</v>
      </c>
      <c r="B45" s="7">
        <v>122.6</v>
      </c>
      <c r="C45" s="18"/>
      <c r="E45"/>
      <c r="G45" s="15">
        <f>75%</f>
        <v>0.75</v>
      </c>
      <c r="H45" s="7">
        <f>105962/1000</f>
        <v>105.962</v>
      </c>
      <c r="I45" s="18"/>
      <c r="K45"/>
      <c r="M45" s="15">
        <f>75%</f>
        <v>0.75</v>
      </c>
      <c r="N45" s="7">
        <f>196494/1000</f>
        <v>196.494</v>
      </c>
      <c r="O45" s="18"/>
    </row>
    <row r="46" spans="1:15" x14ac:dyDescent="0.25">
      <c r="A46" s="7" t="s">
        <v>31</v>
      </c>
      <c r="B46" s="7">
        <v>446.3</v>
      </c>
      <c r="C46" s="18"/>
      <c r="E46"/>
      <c r="G46" s="7" t="s">
        <v>31</v>
      </c>
      <c r="H46" s="7">
        <f>360282/1000</f>
        <v>360.28199999999998</v>
      </c>
      <c r="I46" s="18"/>
      <c r="K46"/>
      <c r="M46" s="7" t="s">
        <v>31</v>
      </c>
      <c r="N46" s="7">
        <f>651046/1000</f>
        <v>651.04600000000005</v>
      </c>
      <c r="O46" s="18"/>
    </row>
    <row r="47" spans="1:15" x14ac:dyDescent="0.25">
      <c r="A47" s="7" t="s">
        <v>32</v>
      </c>
      <c r="B47" s="7">
        <v>68</v>
      </c>
      <c r="C47" s="18"/>
      <c r="E47"/>
      <c r="G47" s="7" t="s">
        <v>32</v>
      </c>
      <c r="H47" s="7">
        <f>58299.6503/1000</f>
        <v>58.299650300000003</v>
      </c>
      <c r="I47" s="18"/>
      <c r="K47"/>
      <c r="M47" s="7" t="s">
        <v>32</v>
      </c>
      <c r="N47" s="7">
        <f>111394.6664/1000</f>
        <v>111.39466640000001</v>
      </c>
      <c r="O47" s="18"/>
    </row>
    <row r="48" spans="1:15" x14ac:dyDescent="0.25">
      <c r="E48"/>
      <c r="K48"/>
    </row>
    <row r="49" spans="1:16" ht="32.25" thickBot="1" x14ac:dyDescent="0.55000000000000004">
      <c r="A49" s="12" t="s">
        <v>37</v>
      </c>
      <c r="B49" s="13">
        <v>2</v>
      </c>
      <c r="E49"/>
      <c r="G49" s="12" t="s">
        <v>37</v>
      </c>
      <c r="H49" s="13">
        <v>2</v>
      </c>
      <c r="K49"/>
      <c r="M49" s="12" t="s">
        <v>37</v>
      </c>
      <c r="N49" s="13">
        <v>2</v>
      </c>
    </row>
    <row r="50" spans="1:16" ht="15.75" thickTop="1" x14ac:dyDescent="0.25">
      <c r="A50" s="7" t="s">
        <v>29</v>
      </c>
      <c r="B50" s="7">
        <v>298</v>
      </c>
      <c r="E50"/>
      <c r="G50" s="7" t="s">
        <v>29</v>
      </c>
      <c r="H50" s="7">
        <f xml:space="preserve"> 160281.2546/1000</f>
        <v>160.28125459999998</v>
      </c>
      <c r="K50"/>
      <c r="M50" s="7" t="s">
        <v>29</v>
      </c>
      <c r="N50" s="7">
        <f>28955037.8369/1000</f>
        <v>28955.037836899999</v>
      </c>
    </row>
    <row r="51" spans="1:16" x14ac:dyDescent="0.25">
      <c r="A51" s="7" t="s">
        <v>30</v>
      </c>
      <c r="B51" s="7">
        <v>234.2</v>
      </c>
      <c r="E51"/>
      <c r="G51" s="7" t="s">
        <v>30</v>
      </c>
      <c r="H51" s="7">
        <f>126622/1000</f>
        <v>126.622</v>
      </c>
      <c r="K51"/>
      <c r="M51" s="7" t="s">
        <v>30</v>
      </c>
      <c r="N51" s="7">
        <f>30525804/1000</f>
        <v>30525.804</v>
      </c>
    </row>
    <row r="52" spans="1:16" x14ac:dyDescent="0.25">
      <c r="A52" s="15">
        <f>75%</f>
        <v>0.75</v>
      </c>
      <c r="B52" s="7">
        <v>405.6</v>
      </c>
      <c r="E52"/>
      <c r="G52" s="15">
        <f>75%</f>
        <v>0.75</v>
      </c>
      <c r="H52" s="7">
        <f>213193/1000</f>
        <v>213.19300000000001</v>
      </c>
      <c r="K52"/>
      <c r="M52" s="15">
        <f>75%</f>
        <v>0.75</v>
      </c>
      <c r="N52" s="7">
        <f>42806928/1000</f>
        <v>42806.928</v>
      </c>
    </row>
    <row r="53" spans="1:16" x14ac:dyDescent="0.25">
      <c r="A53" s="7" t="s">
        <v>31</v>
      </c>
      <c r="B53" s="7">
        <v>1260</v>
      </c>
      <c r="E53"/>
      <c r="G53" s="7" t="s">
        <v>31</v>
      </c>
      <c r="H53" s="7">
        <f>909946/1000</f>
        <v>909.94600000000003</v>
      </c>
      <c r="K53"/>
      <c r="M53" s="7" t="s">
        <v>31</v>
      </c>
      <c r="N53" s="7">
        <f>52906110/1000</f>
        <v>52906.11</v>
      </c>
    </row>
    <row r="54" spans="1:16" x14ac:dyDescent="0.25">
      <c r="A54" s="7" t="s">
        <v>32</v>
      </c>
      <c r="B54" s="7">
        <v>227</v>
      </c>
      <c r="E54"/>
      <c r="G54" s="7" t="s">
        <v>32</v>
      </c>
      <c r="H54" s="7">
        <f>105951.8735/1000</f>
        <v>105.9518735</v>
      </c>
      <c r="K54"/>
      <c r="M54" s="7" t="s">
        <v>32</v>
      </c>
      <c r="N54" s="7">
        <f>15189793.0927/1000</f>
        <v>15189.793092700002</v>
      </c>
    </row>
    <row r="55" spans="1:16" x14ac:dyDescent="0.25">
      <c r="A55" s="19"/>
      <c r="B55" s="19"/>
      <c r="C55" s="19"/>
      <c r="D55" s="19"/>
      <c r="E55"/>
      <c r="G55" s="19"/>
      <c r="H55" s="19"/>
      <c r="I55" s="19"/>
      <c r="J55" s="19"/>
      <c r="K55"/>
      <c r="M55" s="19"/>
      <c r="N55" s="19"/>
      <c r="O55" s="19"/>
      <c r="P55" s="19"/>
    </row>
    <row r="56" spans="1:16" x14ac:dyDescent="0.25">
      <c r="A56" s="19"/>
      <c r="B56" s="19"/>
      <c r="C56" s="19"/>
      <c r="D56" s="19"/>
      <c r="E56"/>
      <c r="G56" s="19"/>
      <c r="H56" s="19"/>
      <c r="I56" s="19"/>
      <c r="J56" s="19"/>
      <c r="K56"/>
      <c r="M56" s="19"/>
      <c r="N56" s="19"/>
      <c r="O56" s="19"/>
      <c r="P56" s="19"/>
    </row>
    <row r="57" spans="1:16" x14ac:dyDescent="0.25">
      <c r="A57" s="19"/>
      <c r="B57" s="19"/>
      <c r="C57" s="19"/>
      <c r="D57" s="19"/>
      <c r="E57"/>
      <c r="G57" s="19"/>
      <c r="H57" s="19"/>
      <c r="I57" s="19"/>
      <c r="J57" s="19"/>
      <c r="K57"/>
      <c r="M57" s="19"/>
      <c r="N57" s="19"/>
      <c r="O57" s="19"/>
      <c r="P57" s="19"/>
    </row>
    <row r="58" spans="1:16" x14ac:dyDescent="0.25">
      <c r="B58" s="1" t="s">
        <v>1</v>
      </c>
      <c r="C58" s="1">
        <v>4</v>
      </c>
      <c r="E58"/>
      <c r="H58" s="1" t="s">
        <v>1</v>
      </c>
      <c r="I58" s="1">
        <v>4</v>
      </c>
      <c r="K58"/>
      <c r="N58" s="1" t="s">
        <v>1</v>
      </c>
      <c r="O58" s="1">
        <v>4</v>
      </c>
    </row>
    <row r="59" spans="1:16" x14ac:dyDescent="0.25">
      <c r="A59" s="2" t="s">
        <v>2</v>
      </c>
      <c r="B59" s="3">
        <f>D65*D60/C65</f>
        <v>1.8109740328484278</v>
      </c>
      <c r="C59" s="1" t="s">
        <v>3</v>
      </c>
      <c r="D59" s="4" t="s">
        <v>4</v>
      </c>
      <c r="E59"/>
      <c r="G59" s="2" t="s">
        <v>2</v>
      </c>
      <c r="H59" s="3">
        <f>J65*J60/I65</f>
        <v>0.91975670389488506</v>
      </c>
      <c r="I59" s="1" t="s">
        <v>3</v>
      </c>
      <c r="J59" s="4" t="s">
        <v>4</v>
      </c>
      <c r="K59"/>
      <c r="M59" s="2" t="s">
        <v>2</v>
      </c>
      <c r="N59" s="3">
        <f>P65*P60/O65</f>
        <v>3.6522403979352416</v>
      </c>
      <c r="O59" s="1" t="s">
        <v>3</v>
      </c>
      <c r="P59" s="4" t="s">
        <v>4</v>
      </c>
    </row>
    <row r="60" spans="1:16" x14ac:dyDescent="0.25">
      <c r="A60" s="2" t="s">
        <v>5</v>
      </c>
      <c r="B60" s="2">
        <f>POWER(2,C60)</f>
        <v>4096</v>
      </c>
      <c r="C60" s="1">
        <v>12</v>
      </c>
      <c r="D60" s="2">
        <f>B60/B61</f>
        <v>1.9221022993899577</v>
      </c>
      <c r="E60"/>
      <c r="G60" s="2" t="s">
        <v>5</v>
      </c>
      <c r="H60" s="2">
        <f>POWER(2,I60)</f>
        <v>4096</v>
      </c>
      <c r="I60" s="1">
        <v>12</v>
      </c>
      <c r="J60" s="2">
        <f>H60/H61</f>
        <v>1.9221022993899577</v>
      </c>
      <c r="K60"/>
      <c r="M60" s="2" t="s">
        <v>5</v>
      </c>
      <c r="N60" s="2">
        <f>POWER(2,O60)</f>
        <v>4096</v>
      </c>
      <c r="O60" s="1">
        <v>12</v>
      </c>
      <c r="P60" s="2">
        <f>N60/N61</f>
        <v>1.9221022993899577</v>
      </c>
    </row>
    <row r="61" spans="1:16" x14ac:dyDescent="0.25">
      <c r="A61" s="5" t="s">
        <v>6</v>
      </c>
      <c r="B61" s="5">
        <v>2131</v>
      </c>
      <c r="E61"/>
      <c r="G61" s="5" t="s">
        <v>6</v>
      </c>
      <c r="H61" s="5">
        <v>2131</v>
      </c>
      <c r="K61"/>
      <c r="M61" s="5" t="s">
        <v>6</v>
      </c>
      <c r="N61" s="5">
        <v>2131</v>
      </c>
    </row>
    <row r="62" spans="1:16" x14ac:dyDescent="0.25">
      <c r="A62" s="5" t="s">
        <v>7</v>
      </c>
      <c r="B62" s="5">
        <v>25</v>
      </c>
      <c r="E62"/>
      <c r="G62" s="5" t="s">
        <v>7</v>
      </c>
      <c r="H62" s="5">
        <v>25</v>
      </c>
      <c r="K62"/>
      <c r="M62" s="5" t="s">
        <v>7</v>
      </c>
      <c r="N62" s="5">
        <v>25</v>
      </c>
    </row>
    <row r="63" spans="1:16" x14ac:dyDescent="0.25">
      <c r="E63"/>
      <c r="K63"/>
    </row>
    <row r="64" spans="1:16" x14ac:dyDescent="0.25">
      <c r="A64" s="2" t="s">
        <v>8</v>
      </c>
      <c r="B64" s="1" t="s">
        <v>9</v>
      </c>
      <c r="C64" s="2" t="s">
        <v>10</v>
      </c>
      <c r="D64" s="1" t="s">
        <v>11</v>
      </c>
      <c r="E64"/>
      <c r="G64" s="2" t="s">
        <v>8</v>
      </c>
      <c r="H64" s="1" t="s">
        <v>9</v>
      </c>
      <c r="I64" s="2" t="s">
        <v>10</v>
      </c>
      <c r="J64" s="1" t="s">
        <v>11</v>
      </c>
      <c r="K64"/>
      <c r="M64" s="2" t="s">
        <v>8</v>
      </c>
      <c r="N64" s="1" t="s">
        <v>9</v>
      </c>
      <c r="O64" s="2" t="s">
        <v>10</v>
      </c>
      <c r="P64" s="1" t="s">
        <v>11</v>
      </c>
    </row>
    <row r="65" spans="1:16" x14ac:dyDescent="0.25">
      <c r="A65" s="2">
        <f>B59/(1-B59)*(D60+B65)/2/D60+D65/C65*(1+D60)/(1+D65/C65)</f>
        <v>-6.8452900426611096</v>
      </c>
      <c r="B65" s="1">
        <v>12.302199999999999</v>
      </c>
      <c r="C65" s="6">
        <f>1/C66*1000</f>
        <v>8.4909104803308058</v>
      </c>
      <c r="D65" s="1">
        <v>8</v>
      </c>
      <c r="E65"/>
      <c r="G65" s="2">
        <f>H59/(1-H59)*(J60+H65)/2/J60+J65/I65*(1+J60)/(1+J65/I65)</f>
        <v>43.357720222384962</v>
      </c>
      <c r="H65" s="1">
        <v>12.302199999999999</v>
      </c>
      <c r="I65" s="6">
        <f>1/I66*1000</f>
        <v>8.3591771226040503</v>
      </c>
      <c r="J65" s="1">
        <v>4</v>
      </c>
      <c r="K65"/>
      <c r="M65" s="2">
        <f>N59/(1-N59)*(P60+N65)/2/P60+P65/O65*(1+P60)/(1+P65/O65)</f>
        <v>-3.1807886764086772</v>
      </c>
      <c r="N65" s="1">
        <v>12.302199999999999</v>
      </c>
      <c r="O65" s="6">
        <f>1/O66*1000</f>
        <v>8.4204853567759645</v>
      </c>
      <c r="P65" s="1">
        <v>16</v>
      </c>
    </row>
    <row r="66" spans="1:16" x14ac:dyDescent="0.25">
      <c r="B66" s="1" t="s">
        <v>12</v>
      </c>
      <c r="C66" s="7">
        <f xml:space="preserve"> 117773/1000</f>
        <v>117.773</v>
      </c>
      <c r="E66"/>
      <c r="H66" s="1" t="s">
        <v>12</v>
      </c>
      <c r="I66" s="7">
        <f>119629/1000</f>
        <v>119.629</v>
      </c>
      <c r="K66"/>
      <c r="N66" s="1" t="s">
        <v>12</v>
      </c>
      <c r="O66" s="7">
        <f xml:space="preserve"> 118758/1000</f>
        <v>118.758</v>
      </c>
    </row>
    <row r="67" spans="1:16" x14ac:dyDescent="0.25">
      <c r="E67"/>
      <c r="K67"/>
    </row>
    <row r="68" spans="1:16" x14ac:dyDescent="0.25">
      <c r="A68" s="2" t="s">
        <v>13</v>
      </c>
      <c r="B68" s="2">
        <f>(C60+2)*C58</f>
        <v>56</v>
      </c>
      <c r="E68"/>
      <c r="G68" s="2" t="s">
        <v>13</v>
      </c>
      <c r="H68" s="2">
        <f>(I60+2)*I58</f>
        <v>56</v>
      </c>
      <c r="K68"/>
      <c r="M68" s="2" t="s">
        <v>13</v>
      </c>
      <c r="N68" s="2">
        <f>(O60+2)*O58</f>
        <v>56</v>
      </c>
    </row>
    <row r="69" spans="1:16" x14ac:dyDescent="0.25">
      <c r="C69" s="1" t="s">
        <v>14</v>
      </c>
      <c r="D69" s="1">
        <v>102</v>
      </c>
      <c r="E69"/>
      <c r="I69" s="1" t="s">
        <v>14</v>
      </c>
      <c r="J69" s="1">
        <v>102</v>
      </c>
      <c r="K69"/>
      <c r="O69" s="1" t="s">
        <v>14</v>
      </c>
      <c r="P69" s="1">
        <v>102</v>
      </c>
    </row>
    <row r="70" spans="1:16" x14ac:dyDescent="0.25">
      <c r="A70" s="1" t="s">
        <v>15</v>
      </c>
      <c r="B70" s="1">
        <v>29</v>
      </c>
      <c r="D70" t="s">
        <v>16</v>
      </c>
      <c r="E70"/>
      <c r="G70" s="1" t="s">
        <v>15</v>
      </c>
      <c r="H70" s="1">
        <v>29</v>
      </c>
      <c r="J70" t="s">
        <v>16</v>
      </c>
      <c r="K70"/>
      <c r="M70" s="1" t="s">
        <v>15</v>
      </c>
      <c r="N70" s="1">
        <v>29</v>
      </c>
      <c r="P70" t="s">
        <v>16</v>
      </c>
    </row>
    <row r="71" spans="1:16" x14ac:dyDescent="0.25">
      <c r="E71"/>
      <c r="K71"/>
    </row>
    <row r="72" spans="1:16" x14ac:dyDescent="0.25">
      <c r="A72" s="7" t="s">
        <v>17</v>
      </c>
      <c r="B72" s="2" t="s">
        <v>18</v>
      </c>
      <c r="C72" s="7" t="s">
        <v>19</v>
      </c>
      <c r="E72"/>
      <c r="G72" s="7" t="s">
        <v>17</v>
      </c>
      <c r="H72" s="2" t="s">
        <v>18</v>
      </c>
      <c r="I72" s="7" t="s">
        <v>19</v>
      </c>
      <c r="K72"/>
      <c r="M72" s="7" t="s">
        <v>17</v>
      </c>
      <c r="N72" s="2" t="s">
        <v>18</v>
      </c>
      <c r="O72" s="7" t="s">
        <v>19</v>
      </c>
    </row>
    <row r="73" spans="1:16" x14ac:dyDescent="0.25">
      <c r="A73" s="7">
        <f>2194</f>
        <v>2194</v>
      </c>
      <c r="B73" s="8">
        <f>A73+C73</f>
        <v>2201</v>
      </c>
      <c r="C73" s="7">
        <v>7</v>
      </c>
      <c r="E73"/>
      <c r="G73" s="7">
        <f>3893</f>
        <v>3893</v>
      </c>
      <c r="H73" s="8">
        <f>G73+I73</f>
        <v>3905</v>
      </c>
      <c r="I73" s="7">
        <v>12</v>
      </c>
      <c r="K73"/>
      <c r="M73" s="7">
        <v>1069</v>
      </c>
      <c r="N73" s="8">
        <f>M73+O73</f>
        <v>1073</v>
      </c>
      <c r="O73" s="7">
        <v>4</v>
      </c>
    </row>
    <row r="74" spans="1:16" x14ac:dyDescent="0.25">
      <c r="A74" s="2" t="s">
        <v>20</v>
      </c>
      <c r="B74" s="8" t="s">
        <v>21</v>
      </c>
      <c r="C74" s="8" t="s">
        <v>22</v>
      </c>
      <c r="E74"/>
      <c r="G74" s="2" t="s">
        <v>20</v>
      </c>
      <c r="H74" s="8" t="s">
        <v>21</v>
      </c>
      <c r="I74" s="8" t="s">
        <v>22</v>
      </c>
      <c r="K74"/>
      <c r="M74" s="2" t="s">
        <v>20</v>
      </c>
      <c r="N74" s="8" t="s">
        <v>21</v>
      </c>
      <c r="O74" s="8" t="s">
        <v>22</v>
      </c>
    </row>
    <row r="75" spans="1:16" x14ac:dyDescent="0.25">
      <c r="A75" s="8">
        <f>A73</f>
        <v>2194</v>
      </c>
      <c r="B75" s="9">
        <f>B73*B68</f>
        <v>123256</v>
      </c>
      <c r="C75" s="8">
        <f>C73*B68</f>
        <v>392</v>
      </c>
      <c r="E75"/>
      <c r="G75" s="8">
        <f>G73</f>
        <v>3893</v>
      </c>
      <c r="H75" s="9">
        <f>H73*H68</f>
        <v>218680</v>
      </c>
      <c r="I75" s="8">
        <f>I73*H68</f>
        <v>672</v>
      </c>
      <c r="K75"/>
      <c r="M75" s="8">
        <f>M73</f>
        <v>1069</v>
      </c>
      <c r="N75" s="9">
        <f>N73*N68</f>
        <v>60088</v>
      </c>
      <c r="O75" s="8">
        <f>O73*N68</f>
        <v>224</v>
      </c>
    </row>
    <row r="76" spans="1:16" x14ac:dyDescent="0.25">
      <c r="E76"/>
      <c r="K76"/>
    </row>
    <row r="77" spans="1:16" x14ac:dyDescent="0.25">
      <c r="A77" s="2" t="s">
        <v>23</v>
      </c>
      <c r="B77" s="2">
        <f>B70*B68/1024</f>
        <v>1.5859375</v>
      </c>
      <c r="E77"/>
      <c r="G77" s="2" t="s">
        <v>23</v>
      </c>
      <c r="H77" s="2">
        <f>H70*H68/1024</f>
        <v>1.5859375</v>
      </c>
      <c r="K77"/>
      <c r="M77" s="2" t="s">
        <v>23</v>
      </c>
      <c r="N77" s="2">
        <f>N70*N68/1024</f>
        <v>1.5859375</v>
      </c>
    </row>
    <row r="78" spans="1:16" x14ac:dyDescent="0.25">
      <c r="A78" s="2" t="s">
        <v>24</v>
      </c>
      <c r="B78" s="10">
        <f>(B70*C75+C73*D69*1024)/POWER(1024, 3)</f>
        <v>6.9151073694229126E-4</v>
      </c>
      <c r="C78" s="8" t="s">
        <v>25</v>
      </c>
      <c r="D78" s="8">
        <f>B78/B96*POWER(1024,2)</f>
        <v>0.69454172653256707</v>
      </c>
      <c r="E78"/>
      <c r="G78" s="2" t="s">
        <v>24</v>
      </c>
      <c r="H78" s="10">
        <f>(H70*I75+I73*J69*1024)/POWER(1024, 3)</f>
        <v>1.1854469776153564E-3</v>
      </c>
      <c r="I78" s="8" t="s">
        <v>25</v>
      </c>
      <c r="J78" s="8">
        <f>H78/H96*POWER(1024,2)</f>
        <v>0.60962788131436974</v>
      </c>
      <c r="K78"/>
      <c r="M78" s="2" t="s">
        <v>24</v>
      </c>
      <c r="N78" s="10">
        <f>(N70*O75+O73*P69*1024)/POWER(1024, 3)</f>
        <v>3.9514899253845215E-4</v>
      </c>
      <c r="O78" s="8" t="s">
        <v>25</v>
      </c>
      <c r="P78" s="8">
        <f>N78/N96*POWER(1024,2)</f>
        <v>0.7658849353049908</v>
      </c>
    </row>
    <row r="79" spans="1:16" x14ac:dyDescent="0.25">
      <c r="A79" s="2" t="s">
        <v>26</v>
      </c>
      <c r="B79" s="11">
        <f>C75/A75</f>
        <v>0.17866909753874202</v>
      </c>
      <c r="E79"/>
      <c r="G79" s="2" t="s">
        <v>26</v>
      </c>
      <c r="H79" s="11">
        <f>I75/G75</f>
        <v>0.17261751862316979</v>
      </c>
      <c r="K79"/>
      <c r="M79" s="2" t="s">
        <v>26</v>
      </c>
      <c r="N79" s="11">
        <f>O75/M75</f>
        <v>0.20954162768942938</v>
      </c>
    </row>
    <row r="80" spans="1:16" x14ac:dyDescent="0.25">
      <c r="E80"/>
      <c r="K80"/>
    </row>
    <row r="81" spans="1:15" ht="32.25" thickBot="1" x14ac:dyDescent="0.55000000000000004">
      <c r="A81" s="12" t="s">
        <v>27</v>
      </c>
      <c r="B81" s="13">
        <v>1</v>
      </c>
      <c r="C81" s="2" t="s">
        <v>28</v>
      </c>
      <c r="E81"/>
      <c r="G81" s="12" t="s">
        <v>27</v>
      </c>
      <c r="H81" s="13">
        <v>1</v>
      </c>
      <c r="I81" s="2" t="s">
        <v>28</v>
      </c>
      <c r="K81"/>
      <c r="M81" s="12" t="s">
        <v>27</v>
      </c>
      <c r="N81" s="13">
        <v>1</v>
      </c>
      <c r="O81" s="2" t="s">
        <v>28</v>
      </c>
    </row>
    <row r="82" spans="1:15" ht="15.75" thickTop="1" x14ac:dyDescent="0.25">
      <c r="A82" s="7" t="s">
        <v>29</v>
      </c>
      <c r="B82" s="7">
        <v>11.218299999999999</v>
      </c>
      <c r="C82" s="14">
        <f>B82/B60</f>
        <v>2.7388427734374998E-3</v>
      </c>
      <c r="E82"/>
      <c r="G82" s="7" t="s">
        <v>29</v>
      </c>
      <c r="H82">
        <v>0.309</v>
      </c>
      <c r="I82" s="14">
        <f>H99/H60</f>
        <v>0.72161512524414062</v>
      </c>
      <c r="K82"/>
      <c r="M82" s="7" t="s">
        <v>29</v>
      </c>
      <c r="N82" s="7">
        <v>7.6717000000000004</v>
      </c>
      <c r="O82" s="14">
        <f>N82/N60</f>
        <v>1.8729736328125001E-3</v>
      </c>
    </row>
    <row r="83" spans="1:15" x14ac:dyDescent="0.25">
      <c r="A83" s="7" t="s">
        <v>30</v>
      </c>
      <c r="B83" s="7">
        <v>0</v>
      </c>
      <c r="C83" s="14">
        <f>B83/298</f>
        <v>0</v>
      </c>
      <c r="E83"/>
      <c r="G83" s="7" t="s">
        <v>30</v>
      </c>
      <c r="H83" s="7">
        <v>0</v>
      </c>
      <c r="I83" s="14">
        <f>H83/298</f>
        <v>0</v>
      </c>
      <c r="K83"/>
      <c r="M83" s="7" t="s">
        <v>30</v>
      </c>
      <c r="N83" s="7">
        <v>0</v>
      </c>
      <c r="O83" s="14">
        <f>N83/298</f>
        <v>0</v>
      </c>
    </row>
    <row r="84" spans="1:15" x14ac:dyDescent="0.25">
      <c r="A84" s="15">
        <v>0.75</v>
      </c>
      <c r="B84" s="7">
        <v>0</v>
      </c>
      <c r="C84" s="14">
        <f>B84/B60</f>
        <v>0</v>
      </c>
      <c r="E84"/>
      <c r="G84" s="15">
        <v>0.75</v>
      </c>
      <c r="H84" s="7">
        <v>0</v>
      </c>
      <c r="I84" s="14">
        <f>H84/H60</f>
        <v>0</v>
      </c>
      <c r="K84"/>
      <c r="M84" s="15">
        <v>0.75</v>
      </c>
      <c r="N84" s="7">
        <v>0</v>
      </c>
      <c r="O84" s="14">
        <f>N84/N60</f>
        <v>0</v>
      </c>
    </row>
    <row r="85" spans="1:15" x14ac:dyDescent="0.25">
      <c r="A85" s="7" t="s">
        <v>31</v>
      </c>
      <c r="B85" s="7">
        <v>1992</v>
      </c>
      <c r="C85" s="14">
        <f>B85/B60</f>
        <v>0.486328125</v>
      </c>
      <c r="E85"/>
      <c r="G85" s="7" t="s">
        <v>31</v>
      </c>
      <c r="H85" s="7">
        <v>104</v>
      </c>
      <c r="I85" s="14">
        <f>H85/H60</f>
        <v>2.5390625E-2</v>
      </c>
      <c r="K85"/>
      <c r="M85" s="7" t="s">
        <v>31</v>
      </c>
      <c r="N85" s="7">
        <v>2842</v>
      </c>
      <c r="O85" s="14">
        <f>N85/N60</f>
        <v>0.69384765625</v>
      </c>
    </row>
    <row r="86" spans="1:15" x14ac:dyDescent="0.25">
      <c r="A86" s="7" t="s">
        <v>32</v>
      </c>
      <c r="B86" s="7">
        <v>120.3526</v>
      </c>
      <c r="C86" s="14">
        <f>B86/B60</f>
        <v>2.9382958984374999E-2</v>
      </c>
      <c r="E86"/>
      <c r="G86" s="7" t="s">
        <v>32</v>
      </c>
      <c r="H86" s="7">
        <v>3.589</v>
      </c>
      <c r="I86" s="14">
        <f>H86/H60</f>
        <v>8.7622070312499999E-4</v>
      </c>
      <c r="K86"/>
      <c r="M86" s="7" t="s">
        <v>32</v>
      </c>
      <c r="N86" s="7">
        <v>120.72</v>
      </c>
      <c r="O86" s="14">
        <f>N86/N60</f>
        <v>2.947265625E-2</v>
      </c>
    </row>
    <row r="87" spans="1:15" x14ac:dyDescent="0.25">
      <c r="A87" s="7"/>
      <c r="B87" s="7"/>
      <c r="C87" s="14"/>
      <c r="E87"/>
      <c r="G87" s="7"/>
      <c r="H87" s="7"/>
      <c r="I87" s="14"/>
      <c r="K87"/>
      <c r="M87" s="7"/>
      <c r="N87" s="7"/>
      <c r="O87" s="14"/>
    </row>
    <row r="88" spans="1:15" ht="32.25" thickBot="1" x14ac:dyDescent="0.55000000000000004">
      <c r="A88" s="12" t="s">
        <v>27</v>
      </c>
      <c r="B88" s="13">
        <v>2</v>
      </c>
      <c r="C88" s="2" t="s">
        <v>28</v>
      </c>
      <c r="E88"/>
      <c r="G88" s="12" t="s">
        <v>27</v>
      </c>
      <c r="H88" s="13">
        <v>2</v>
      </c>
      <c r="I88" s="2" t="s">
        <v>28</v>
      </c>
      <c r="K88"/>
      <c r="M88" s="12" t="s">
        <v>27</v>
      </c>
      <c r="N88" s="13">
        <v>2</v>
      </c>
      <c r="O88" s="2" t="s">
        <v>28</v>
      </c>
    </row>
    <row r="89" spans="1:15" ht="15.75" thickTop="1" x14ac:dyDescent="0.25">
      <c r="A89" s="7" t="s">
        <v>29</v>
      </c>
      <c r="B89" s="7">
        <v>21.14</v>
      </c>
      <c r="C89" s="14" t="e">
        <f>B89/B67</f>
        <v>#DIV/0!</v>
      </c>
      <c r="E89"/>
      <c r="G89" s="7" t="s">
        <v>29</v>
      </c>
      <c r="H89" s="7">
        <v>30.350899999999999</v>
      </c>
      <c r="I89" s="14" t="e">
        <f>H89/H67</f>
        <v>#DIV/0!</v>
      </c>
      <c r="K89"/>
      <c r="M89" s="7" t="s">
        <v>29</v>
      </c>
      <c r="N89" s="7">
        <v>10.032299999999999</v>
      </c>
      <c r="O89" s="14" t="e">
        <f>N89/N67</f>
        <v>#DIV/0!</v>
      </c>
    </row>
    <row r="90" spans="1:15" x14ac:dyDescent="0.25">
      <c r="A90" s="7" t="s">
        <v>30</v>
      </c>
      <c r="B90" s="7">
        <v>0</v>
      </c>
      <c r="C90" s="14">
        <f>B90/298</f>
        <v>0</v>
      </c>
      <c r="E90"/>
      <c r="G90" s="7" t="s">
        <v>30</v>
      </c>
      <c r="H90" s="7">
        <v>0</v>
      </c>
      <c r="I90" s="14">
        <f>H90/298</f>
        <v>0</v>
      </c>
      <c r="K90"/>
      <c r="M90" s="7" t="s">
        <v>30</v>
      </c>
      <c r="N90" s="7">
        <v>0</v>
      </c>
      <c r="O90" s="14">
        <f>N90/298</f>
        <v>0</v>
      </c>
    </row>
    <row r="91" spans="1:15" x14ac:dyDescent="0.25">
      <c r="A91" s="15">
        <v>0.75</v>
      </c>
      <c r="B91" s="7">
        <v>0</v>
      </c>
      <c r="C91" s="14" t="e">
        <f>B91/B67</f>
        <v>#DIV/0!</v>
      </c>
      <c r="E91"/>
      <c r="G91" s="15">
        <v>0.75</v>
      </c>
      <c r="H91" s="7">
        <v>0</v>
      </c>
      <c r="I91" s="14" t="e">
        <f>H91/H67</f>
        <v>#DIV/0!</v>
      </c>
      <c r="K91"/>
      <c r="M91" s="15">
        <v>0.75</v>
      </c>
      <c r="N91" s="7">
        <v>0</v>
      </c>
      <c r="O91" s="14" t="e">
        <f>N91/N67</f>
        <v>#DIV/0!</v>
      </c>
    </row>
    <row r="92" spans="1:15" x14ac:dyDescent="0.25">
      <c r="A92" s="7" t="s">
        <v>31</v>
      </c>
      <c r="B92" s="7">
        <v>3989</v>
      </c>
      <c r="C92" s="14" t="e">
        <f>B92/B67</f>
        <v>#DIV/0!</v>
      </c>
      <c r="E92"/>
      <c r="G92" s="7" t="s">
        <v>31</v>
      </c>
      <c r="H92" s="7">
        <v>3684</v>
      </c>
      <c r="I92" s="14" t="e">
        <f>H92/H67</f>
        <v>#DIV/0!</v>
      </c>
      <c r="K92"/>
      <c r="M92" s="7" t="s">
        <v>31</v>
      </c>
      <c r="N92" s="7">
        <v>3923</v>
      </c>
      <c r="O92" s="14" t="e">
        <f>N92/N67</f>
        <v>#DIV/0!</v>
      </c>
    </row>
    <row r="93" spans="1:15" x14ac:dyDescent="0.25">
      <c r="A93" s="7" t="s">
        <v>32</v>
      </c>
      <c r="B93" s="7">
        <v>232.9093</v>
      </c>
      <c r="C93" s="14" t="e">
        <f>B93/B67</f>
        <v>#DIV/0!</v>
      </c>
      <c r="E93"/>
      <c r="G93" s="7" t="s">
        <v>32</v>
      </c>
      <c r="H93" s="7">
        <v>273.43049999999999</v>
      </c>
      <c r="I93" s="14" t="e">
        <f>H93/H67</f>
        <v>#DIV/0!</v>
      </c>
      <c r="K93"/>
      <c r="M93" s="7" t="s">
        <v>32</v>
      </c>
      <c r="N93" s="7">
        <v>160.8236</v>
      </c>
      <c r="O93" s="14" t="e">
        <f>N93/N67</f>
        <v>#DIV/0!</v>
      </c>
    </row>
    <row r="94" spans="1:15" x14ac:dyDescent="0.25">
      <c r="E94"/>
      <c r="K94"/>
    </row>
    <row r="95" spans="1:15" x14ac:dyDescent="0.25">
      <c r="A95" s="1" t="s">
        <v>33</v>
      </c>
      <c r="B95" s="7" t="s">
        <v>34</v>
      </c>
      <c r="C95" s="2" t="s">
        <v>35</v>
      </c>
      <c r="E95"/>
      <c r="G95" s="1" t="s">
        <v>33</v>
      </c>
      <c r="H95" s="7" t="s">
        <v>34</v>
      </c>
      <c r="I95" s="2" t="s">
        <v>35</v>
      </c>
      <c r="K95"/>
      <c r="M95" s="1" t="s">
        <v>33</v>
      </c>
      <c r="N95" s="7" t="s">
        <v>34</v>
      </c>
      <c r="O95" s="2" t="s">
        <v>35</v>
      </c>
    </row>
    <row r="96" spans="1:15" x14ac:dyDescent="0.25">
      <c r="A96" s="1">
        <v>5000</v>
      </c>
      <c r="B96" s="16">
        <f>1044</f>
        <v>1044</v>
      </c>
      <c r="C96" s="17">
        <f>B96/A96</f>
        <v>0.20880000000000001</v>
      </c>
      <c r="E96"/>
      <c r="G96" s="1">
        <v>5000</v>
      </c>
      <c r="H96" s="16">
        <v>2039</v>
      </c>
      <c r="I96" s="17">
        <f>H96/G96</f>
        <v>0.4078</v>
      </c>
      <c r="K96"/>
      <c r="M96" s="1">
        <v>5000</v>
      </c>
      <c r="N96" s="16">
        <v>541</v>
      </c>
      <c r="O96" s="17">
        <f>N96/M96</f>
        <v>0.1082</v>
      </c>
    </row>
    <row r="97" spans="1:16" x14ac:dyDescent="0.25">
      <c r="E97"/>
      <c r="K97"/>
    </row>
    <row r="98" spans="1:16" ht="32.25" thickBot="1" x14ac:dyDescent="0.55000000000000004">
      <c r="A98" s="12" t="s">
        <v>36</v>
      </c>
      <c r="B98" s="13">
        <v>1</v>
      </c>
      <c r="E98"/>
      <c r="G98" s="12" t="s">
        <v>36</v>
      </c>
      <c r="H98" s="13">
        <v>1</v>
      </c>
      <c r="K98"/>
      <c r="M98" s="12" t="s">
        <v>36</v>
      </c>
      <c r="N98" s="13">
        <v>1</v>
      </c>
    </row>
    <row r="99" spans="1:16" ht="15.75" thickTop="1" x14ac:dyDescent="0.25">
      <c r="A99" s="7" t="s">
        <v>29</v>
      </c>
      <c r="B99" s="7">
        <f xml:space="preserve"> 63744059/1000</f>
        <v>63744.059000000001</v>
      </c>
      <c r="E99"/>
      <c r="G99" s="7" t="s">
        <v>29</v>
      </c>
      <c r="H99" s="7">
        <f>2955735.553/1000</f>
        <v>2955.735553</v>
      </c>
      <c r="K99"/>
      <c r="M99" s="7" t="s">
        <v>29</v>
      </c>
      <c r="N99" s="7">
        <f>47555792.8531/1000</f>
        <v>47555.7928531</v>
      </c>
    </row>
    <row r="100" spans="1:16" x14ac:dyDescent="0.25">
      <c r="A100" s="7" t="s">
        <v>30</v>
      </c>
      <c r="B100" s="7">
        <f>62616702/1000</f>
        <v>62616.701999999997</v>
      </c>
      <c r="E100"/>
      <c r="G100" s="7" t="s">
        <v>30</v>
      </c>
      <c r="H100" s="7">
        <f>2412196/1000</f>
        <v>2412.1959999999999</v>
      </c>
      <c r="K100"/>
      <c r="M100" s="7" t="s">
        <v>30</v>
      </c>
      <c r="N100" s="7">
        <f>48014423/1000</f>
        <v>48014.423000000003</v>
      </c>
    </row>
    <row r="101" spans="1:16" x14ac:dyDescent="0.25">
      <c r="A101" s="15">
        <f>75%</f>
        <v>0.75</v>
      </c>
      <c r="B101" s="7">
        <f>91475330/1000</f>
        <v>91475.33</v>
      </c>
      <c r="C101" s="18"/>
      <c r="E101"/>
      <c r="G101" s="15">
        <f>75%</f>
        <v>0.75</v>
      </c>
      <c r="H101" s="7">
        <f>4077060/1000</f>
        <v>4077.06</v>
      </c>
      <c r="I101" s="18"/>
      <c r="K101"/>
      <c r="M101" s="15">
        <f>75%</f>
        <v>0.75</v>
      </c>
      <c r="N101" s="7">
        <f>70888567/1000</f>
        <v>70888.566999999995</v>
      </c>
      <c r="O101" s="18"/>
    </row>
    <row r="102" spans="1:16" x14ac:dyDescent="0.25">
      <c r="A102" s="7" t="s">
        <v>31</v>
      </c>
      <c r="B102" s="7">
        <f>127473407/1000</f>
        <v>127473.40700000001</v>
      </c>
      <c r="C102" s="18"/>
      <c r="E102"/>
      <c r="G102" s="7" t="s">
        <v>31</v>
      </c>
      <c r="H102" s="7">
        <f>12778249/1000</f>
        <v>12778.249</v>
      </c>
      <c r="I102" s="18"/>
      <c r="K102"/>
      <c r="M102" s="7" t="s">
        <v>31</v>
      </c>
      <c r="N102" s="7">
        <f>92918629/1000</f>
        <v>92918.629000000001</v>
      </c>
      <c r="O102" s="18"/>
    </row>
    <row r="103" spans="1:16" x14ac:dyDescent="0.25">
      <c r="A103" s="7" t="s">
        <v>32</v>
      </c>
      <c r="B103" s="7">
        <f>35831797.1529/1000</f>
        <v>35831.797152900006</v>
      </c>
      <c r="C103" s="18"/>
      <c r="E103"/>
      <c r="G103" s="7" t="s">
        <v>32</v>
      </c>
      <c r="H103" s="7">
        <f>2617581.6997/1000</f>
        <v>2617.5816997000002</v>
      </c>
      <c r="I103" s="18"/>
      <c r="K103"/>
      <c r="M103" s="7" t="s">
        <v>32</v>
      </c>
      <c r="N103" s="7">
        <f>27422015.261/1000</f>
        <v>27422.015261</v>
      </c>
      <c r="O103" s="18"/>
    </row>
    <row r="104" spans="1:16" x14ac:dyDescent="0.25">
      <c r="E104"/>
      <c r="K104"/>
    </row>
    <row r="105" spans="1:16" ht="32.25" thickBot="1" x14ac:dyDescent="0.55000000000000004">
      <c r="A105" s="12" t="s">
        <v>37</v>
      </c>
      <c r="B105" s="13">
        <v>2</v>
      </c>
      <c r="E105"/>
      <c r="G105" s="12" t="s">
        <v>37</v>
      </c>
      <c r="H105" s="13">
        <v>2</v>
      </c>
      <c r="K105"/>
      <c r="M105" s="12" t="s">
        <v>37</v>
      </c>
      <c r="N105" s="13">
        <v>2</v>
      </c>
    </row>
    <row r="106" spans="1:16" ht="15.75" thickTop="1" x14ac:dyDescent="0.25">
      <c r="A106" s="7" t="s">
        <v>29</v>
      </c>
      <c r="B106" s="7"/>
      <c r="E106"/>
      <c r="G106" s="7" t="s">
        <v>29</v>
      </c>
      <c r="H106" s="7"/>
      <c r="K106"/>
      <c r="M106" s="7" t="s">
        <v>29</v>
      </c>
      <c r="N106" s="7"/>
    </row>
    <row r="107" spans="1:16" x14ac:dyDescent="0.25">
      <c r="A107" s="7" t="s">
        <v>30</v>
      </c>
      <c r="B107" s="7"/>
      <c r="E107"/>
      <c r="G107" s="7" t="s">
        <v>30</v>
      </c>
      <c r="H107" s="7"/>
      <c r="K107"/>
      <c r="M107" s="7" t="s">
        <v>30</v>
      </c>
      <c r="N107" s="7"/>
    </row>
    <row r="108" spans="1:16" x14ac:dyDescent="0.25">
      <c r="A108" s="15">
        <f>75%</f>
        <v>0.75</v>
      </c>
      <c r="B108" s="7"/>
      <c r="E108"/>
      <c r="G108" s="15">
        <f>75%</f>
        <v>0.75</v>
      </c>
      <c r="H108" s="7"/>
      <c r="K108"/>
      <c r="M108" s="15">
        <f>75%</f>
        <v>0.75</v>
      </c>
      <c r="N108" s="7"/>
    </row>
    <row r="109" spans="1:16" x14ac:dyDescent="0.25">
      <c r="A109" s="7" t="s">
        <v>31</v>
      </c>
      <c r="B109" s="7"/>
      <c r="E109"/>
      <c r="G109" s="7" t="s">
        <v>31</v>
      </c>
      <c r="H109" s="7"/>
      <c r="K109"/>
      <c r="M109" s="7" t="s">
        <v>31</v>
      </c>
      <c r="N109" s="7"/>
    </row>
    <row r="110" spans="1:16" x14ac:dyDescent="0.25">
      <c r="A110" s="7" t="s">
        <v>32</v>
      </c>
      <c r="B110" s="7"/>
      <c r="E110"/>
      <c r="G110" s="7" t="s">
        <v>32</v>
      </c>
      <c r="H110" s="7"/>
      <c r="K110"/>
      <c r="M110" s="7" t="s">
        <v>32</v>
      </c>
      <c r="N110" s="7"/>
    </row>
    <row r="111" spans="1:16" x14ac:dyDescent="0.25">
      <c r="A111" s="19"/>
      <c r="B111" s="19"/>
      <c r="C111" s="19"/>
      <c r="D111" s="19"/>
      <c r="E111"/>
      <c r="G111" s="19"/>
      <c r="H111" s="19"/>
      <c r="I111" s="19"/>
      <c r="J111" s="19"/>
      <c r="K111"/>
      <c r="M111" s="19"/>
      <c r="N111" s="19"/>
      <c r="O111" s="19"/>
      <c r="P111" s="19"/>
    </row>
    <row r="112" spans="1:16" x14ac:dyDescent="0.25">
      <c r="A112" s="19"/>
      <c r="B112" s="19"/>
      <c r="C112" s="19"/>
      <c r="D112" s="19"/>
      <c r="E112"/>
      <c r="G112" s="19"/>
      <c r="H112" s="19"/>
      <c r="I112" s="19"/>
      <c r="J112" s="19"/>
      <c r="K112"/>
      <c r="M112" s="19"/>
      <c r="N112" s="19"/>
      <c r="O112" s="19"/>
      <c r="P112" s="19"/>
    </row>
    <row r="113" spans="1:16" x14ac:dyDescent="0.25">
      <c r="A113" s="19"/>
      <c r="B113" s="19"/>
      <c r="C113" s="19"/>
      <c r="D113" s="19"/>
      <c r="E113"/>
      <c r="G113" s="19"/>
      <c r="H113" s="19"/>
      <c r="I113" s="19"/>
      <c r="J113" s="19"/>
      <c r="K113"/>
      <c r="M113" s="19"/>
      <c r="N113" s="19"/>
      <c r="O113" s="19"/>
      <c r="P113" s="19"/>
    </row>
    <row r="114" spans="1:16" x14ac:dyDescent="0.25">
      <c r="B114" s="1" t="s">
        <v>1</v>
      </c>
      <c r="C114" s="1">
        <v>4</v>
      </c>
      <c r="E114"/>
      <c r="H114" s="1" t="s">
        <v>1</v>
      </c>
      <c r="I114" s="1">
        <v>4</v>
      </c>
      <c r="K114"/>
      <c r="N114" s="1" t="s">
        <v>1</v>
      </c>
      <c r="O114" s="1">
        <v>4</v>
      </c>
    </row>
    <row r="115" spans="1:16" x14ac:dyDescent="0.25">
      <c r="A115" s="2" t="s">
        <v>2</v>
      </c>
      <c r="B115" s="3">
        <f>D121*D116/C121</f>
        <v>9.9692093269169053</v>
      </c>
      <c r="C115" s="1" t="s">
        <v>3</v>
      </c>
      <c r="D115" s="4" t="s">
        <v>4</v>
      </c>
      <c r="E115"/>
      <c r="G115" s="2" t="s">
        <v>2</v>
      </c>
      <c r="H115" s="3">
        <f>J121*J116/I121</f>
        <v>5.0330365453962145</v>
      </c>
      <c r="I115" s="1" t="s">
        <v>3</v>
      </c>
      <c r="J115" s="4" t="s">
        <v>4</v>
      </c>
      <c r="K115"/>
      <c r="M115" s="2" t="s">
        <v>2</v>
      </c>
      <c r="N115" s="3">
        <f>P121*P116/O121</f>
        <v>19.897545383381459</v>
      </c>
      <c r="O115" s="1" t="s">
        <v>3</v>
      </c>
      <c r="P115" s="4" t="s">
        <v>4</v>
      </c>
    </row>
    <row r="116" spans="1:16" x14ac:dyDescent="0.25">
      <c r="A116" s="2" t="s">
        <v>5</v>
      </c>
      <c r="B116" s="2">
        <f>POWER(2,C116)</f>
        <v>16384</v>
      </c>
      <c r="C116" s="1">
        <v>14</v>
      </c>
      <c r="D116" s="2">
        <f>B116/B117</f>
        <v>2.6281681103625281</v>
      </c>
      <c r="E116"/>
      <c r="G116" s="2" t="s">
        <v>5</v>
      </c>
      <c r="H116" s="2">
        <f>POWER(2,I116)</f>
        <v>16384</v>
      </c>
      <c r="I116" s="1">
        <v>14</v>
      </c>
      <c r="J116" s="2">
        <f>H116/H117</f>
        <v>2.6281681103625281</v>
      </c>
      <c r="K116"/>
      <c r="M116" s="2" t="s">
        <v>5</v>
      </c>
      <c r="N116" s="2">
        <f>POWER(2,O116)</f>
        <v>16384</v>
      </c>
      <c r="O116" s="1">
        <v>14</v>
      </c>
      <c r="P116" s="2">
        <f>N116/N117</f>
        <v>2.6281681103625281</v>
      </c>
    </row>
    <row r="117" spans="1:16" x14ac:dyDescent="0.25">
      <c r="A117" s="5" t="s">
        <v>6</v>
      </c>
      <c r="B117" s="5">
        <v>6234</v>
      </c>
      <c r="E117"/>
      <c r="G117" s="5" t="s">
        <v>6</v>
      </c>
      <c r="H117" s="5">
        <v>6234</v>
      </c>
      <c r="K117"/>
      <c r="M117" s="5" t="s">
        <v>6</v>
      </c>
      <c r="N117" s="5">
        <v>6234</v>
      </c>
    </row>
    <row r="118" spans="1:16" x14ac:dyDescent="0.25">
      <c r="A118" s="5" t="s">
        <v>7</v>
      </c>
      <c r="B118" s="5">
        <v>80</v>
      </c>
      <c r="E118"/>
      <c r="G118" s="5" t="s">
        <v>7</v>
      </c>
      <c r="H118" s="5">
        <v>80</v>
      </c>
      <c r="K118"/>
      <c r="M118" s="5" t="s">
        <v>7</v>
      </c>
      <c r="N118" s="5">
        <v>80</v>
      </c>
    </row>
    <row r="119" spans="1:16" x14ac:dyDescent="0.25">
      <c r="E119"/>
      <c r="K119"/>
    </row>
    <row r="120" spans="1:16" x14ac:dyDescent="0.25">
      <c r="A120" s="2" t="s">
        <v>8</v>
      </c>
      <c r="B120" s="1" t="s">
        <v>9</v>
      </c>
      <c r="C120" s="2" t="s">
        <v>10</v>
      </c>
      <c r="D120" s="1" t="s">
        <v>11</v>
      </c>
      <c r="E120"/>
      <c r="G120" s="2" t="s">
        <v>8</v>
      </c>
      <c r="H120" s="1" t="s">
        <v>9</v>
      </c>
      <c r="I120" s="2" t="s">
        <v>10</v>
      </c>
      <c r="J120" s="1" t="s">
        <v>11</v>
      </c>
      <c r="K120"/>
      <c r="M120" s="2" t="s">
        <v>8</v>
      </c>
      <c r="N120" s="1" t="s">
        <v>9</v>
      </c>
      <c r="O120" s="2" t="s">
        <v>10</v>
      </c>
      <c r="P120" s="1" t="s">
        <v>11</v>
      </c>
    </row>
    <row r="121" spans="1:16" x14ac:dyDescent="0.25">
      <c r="A121" s="2">
        <f>B115/(1-B115)*(D116+B121)/2/D116+D121/C121*(1+D116)/(1+D121/C121)</f>
        <v>-7.1916526376133003</v>
      </c>
      <c r="B121" s="1">
        <v>44.96</v>
      </c>
      <c r="C121" s="6">
        <f>1/C122*1000</f>
        <v>2.1090283284685083</v>
      </c>
      <c r="D121" s="1">
        <v>8</v>
      </c>
      <c r="E121"/>
      <c r="G121" s="2">
        <f>H115/(1-H115)*(J116+H121)/2/J116+J121/I121*(1+J116)/(1+J121/I121)</f>
        <v>-8.9147886448361042</v>
      </c>
      <c r="H121" s="1">
        <v>44.96</v>
      </c>
      <c r="I121" s="6">
        <f>1/I122*1000</f>
        <v>2.0887335799431446</v>
      </c>
      <c r="J121" s="1">
        <v>4</v>
      </c>
      <c r="K121"/>
      <c r="M121" s="2">
        <f>N115/(1-N115)*(P116+N121)/2/P116+P121/O121*(1+P116)/(1+P121/O121)</f>
        <v>-6.3277142503333694</v>
      </c>
      <c r="N121" s="1">
        <v>44.96</v>
      </c>
      <c r="O121" s="6">
        <f>1/O122*1000</f>
        <v>2.1133606661312818</v>
      </c>
      <c r="P121" s="1">
        <v>16</v>
      </c>
    </row>
    <row r="122" spans="1:16" x14ac:dyDescent="0.25">
      <c r="B122" s="1" t="s">
        <v>12</v>
      </c>
      <c r="C122" s="7">
        <f>474152/1000</f>
        <v>474.15199999999999</v>
      </c>
      <c r="E122"/>
      <c r="H122" s="1" t="s">
        <v>12</v>
      </c>
      <c r="I122" s="7">
        <f>478759/1000</f>
        <v>478.75900000000001</v>
      </c>
      <c r="K122"/>
      <c r="N122" s="1" t="s">
        <v>12</v>
      </c>
      <c r="O122" s="7">
        <f>473180/1000</f>
        <v>473.18</v>
      </c>
    </row>
    <row r="123" spans="1:16" x14ac:dyDescent="0.25">
      <c r="E123"/>
      <c r="K123"/>
    </row>
    <row r="124" spans="1:16" x14ac:dyDescent="0.25">
      <c r="A124" s="2" t="s">
        <v>13</v>
      </c>
      <c r="B124" s="2">
        <f>(C116+2)*C114</f>
        <v>64</v>
      </c>
      <c r="E124"/>
      <c r="G124" s="2" t="s">
        <v>13</v>
      </c>
      <c r="H124" s="2">
        <f>(I116+2)*I114</f>
        <v>64</v>
      </c>
      <c r="K124"/>
      <c r="M124" s="2" t="s">
        <v>13</v>
      </c>
      <c r="N124" s="2">
        <f>(O116+2)*O114</f>
        <v>64</v>
      </c>
    </row>
    <row r="125" spans="1:16" x14ac:dyDescent="0.25">
      <c r="C125" s="1" t="s">
        <v>14</v>
      </c>
      <c r="D125" s="1">
        <v>431</v>
      </c>
      <c r="E125"/>
      <c r="I125" s="1" t="s">
        <v>14</v>
      </c>
      <c r="J125" s="1">
        <v>431</v>
      </c>
      <c r="K125"/>
      <c r="O125" s="1" t="s">
        <v>14</v>
      </c>
      <c r="P125" s="1">
        <v>431</v>
      </c>
    </row>
    <row r="126" spans="1:16" x14ac:dyDescent="0.25">
      <c r="A126" s="1" t="s">
        <v>15</v>
      </c>
      <c r="B126" s="1">
        <v>30</v>
      </c>
      <c r="D126" t="s">
        <v>16</v>
      </c>
      <c r="E126"/>
      <c r="G126" s="1" t="s">
        <v>15</v>
      </c>
      <c r="H126" s="1">
        <v>30</v>
      </c>
      <c r="J126" t="s">
        <v>16</v>
      </c>
      <c r="K126"/>
      <c r="M126" s="1" t="s">
        <v>15</v>
      </c>
      <c r="N126" s="1">
        <v>30</v>
      </c>
      <c r="P126" t="s">
        <v>16</v>
      </c>
    </row>
    <row r="127" spans="1:16" x14ac:dyDescent="0.25">
      <c r="E127"/>
      <c r="K127"/>
    </row>
    <row r="128" spans="1:16" x14ac:dyDescent="0.25">
      <c r="A128" s="7" t="s">
        <v>17</v>
      </c>
      <c r="B128" s="2" t="s">
        <v>18</v>
      </c>
      <c r="C128" s="7" t="s">
        <v>19</v>
      </c>
      <c r="E128"/>
      <c r="G128" s="7" t="s">
        <v>17</v>
      </c>
      <c r="H128" s="2" t="s">
        <v>18</v>
      </c>
      <c r="I128" s="7" t="s">
        <v>19</v>
      </c>
      <c r="K128"/>
      <c r="M128" s="7" t="s">
        <v>17</v>
      </c>
      <c r="N128" s="2" t="s">
        <v>18</v>
      </c>
      <c r="O128" s="7" t="s">
        <v>19</v>
      </c>
    </row>
    <row r="129" spans="1:16" x14ac:dyDescent="0.25">
      <c r="A129" s="7">
        <v>530</v>
      </c>
      <c r="B129" s="8">
        <f>A129+C129</f>
        <v>532</v>
      </c>
      <c r="C129" s="7">
        <v>2</v>
      </c>
      <c r="E129"/>
      <c r="G129" s="7">
        <v>1028</v>
      </c>
      <c r="H129" s="8">
        <f>G129+I129</f>
        <v>1032</v>
      </c>
      <c r="I129" s="7">
        <v>4</v>
      </c>
      <c r="K129"/>
      <c r="M129" s="7">
        <v>270</v>
      </c>
      <c r="N129" s="8">
        <f>M129+O129</f>
        <v>274</v>
      </c>
      <c r="O129" s="7">
        <v>4</v>
      </c>
    </row>
    <row r="130" spans="1:16" x14ac:dyDescent="0.25">
      <c r="A130" s="2" t="s">
        <v>20</v>
      </c>
      <c r="B130" s="8" t="s">
        <v>21</v>
      </c>
      <c r="C130" s="8" t="s">
        <v>22</v>
      </c>
      <c r="E130"/>
      <c r="G130" s="2" t="s">
        <v>20</v>
      </c>
      <c r="H130" s="8" t="s">
        <v>21</v>
      </c>
      <c r="I130" s="8" t="s">
        <v>22</v>
      </c>
      <c r="K130"/>
      <c r="M130" s="2" t="s">
        <v>20</v>
      </c>
      <c r="N130" s="8" t="s">
        <v>21</v>
      </c>
      <c r="O130" s="8" t="s">
        <v>22</v>
      </c>
    </row>
    <row r="131" spans="1:16" x14ac:dyDescent="0.25">
      <c r="A131" s="8">
        <f>A129</f>
        <v>530</v>
      </c>
      <c r="B131" s="9">
        <f>B129*B124</f>
        <v>34048</v>
      </c>
      <c r="C131" s="8">
        <f>C129*B124</f>
        <v>128</v>
      </c>
      <c r="E131"/>
      <c r="G131" s="8">
        <f>G129</f>
        <v>1028</v>
      </c>
      <c r="H131" s="9">
        <f>H129*H124</f>
        <v>66048</v>
      </c>
      <c r="I131" s="8">
        <f>I129*H124</f>
        <v>256</v>
      </c>
      <c r="K131"/>
      <c r="M131" s="8">
        <f>M129</f>
        <v>270</v>
      </c>
      <c r="N131" s="9">
        <f>N129*N124</f>
        <v>17536</v>
      </c>
      <c r="O131" s="8">
        <f>O129*N124</f>
        <v>256</v>
      </c>
    </row>
    <row r="132" spans="1:16" x14ac:dyDescent="0.25">
      <c r="E132"/>
      <c r="K132"/>
    </row>
    <row r="133" spans="1:16" x14ac:dyDescent="0.25">
      <c r="A133" s="2" t="s">
        <v>23</v>
      </c>
      <c r="B133" s="2">
        <f>B126*B124/1024</f>
        <v>1.875</v>
      </c>
      <c r="E133"/>
      <c r="G133" s="2" t="s">
        <v>23</v>
      </c>
      <c r="H133" s="2">
        <f>H126*H124/1024</f>
        <v>1.875</v>
      </c>
      <c r="K133"/>
      <c r="M133" s="2" t="s">
        <v>23</v>
      </c>
      <c r="N133" s="2">
        <f>N126*N124/1024</f>
        <v>1.875</v>
      </c>
    </row>
    <row r="134" spans="1:16" x14ac:dyDescent="0.25">
      <c r="A134" s="2" t="s">
        <v>24</v>
      </c>
      <c r="B134" s="10">
        <f>(B126*C131+C129*D125*1024)/POWER(1024, 3)</f>
        <v>8.2564353942871094E-4</v>
      </c>
      <c r="C134" s="8" t="s">
        <v>25</v>
      </c>
      <c r="D134" s="8">
        <f>B134/B152*POWER(1024,2)</f>
        <v>4.0267441860465114</v>
      </c>
      <c r="E134"/>
      <c r="G134" s="2" t="s">
        <v>24</v>
      </c>
      <c r="H134" s="10">
        <f>(H126*I131+I129*J125*1024)/POWER(1024, 3)</f>
        <v>1.6512870788574219E-3</v>
      </c>
      <c r="I134" s="8" t="s">
        <v>25</v>
      </c>
      <c r="J134" s="8">
        <f>H134/H152*POWER(1024,2)</f>
        <v>5.0777126099706749</v>
      </c>
      <c r="K134"/>
      <c r="M134" s="2" t="s">
        <v>24</v>
      </c>
      <c r="N134" s="10">
        <f>(N126*O131+O129*P125*1024)/POWER(1024, 3)</f>
        <v>1.6512870788574219E-3</v>
      </c>
      <c r="O134" s="8" t="s">
        <v>25</v>
      </c>
      <c r="P134" s="8">
        <f>N134/N152*POWER(1024,2)</f>
        <v>16.975490196078432</v>
      </c>
    </row>
    <row r="135" spans="1:16" x14ac:dyDescent="0.25">
      <c r="A135" s="2" t="s">
        <v>26</v>
      </c>
      <c r="B135" s="11">
        <f>C131/A131</f>
        <v>0.24150943396226415</v>
      </c>
      <c r="E135"/>
      <c r="G135" s="2" t="s">
        <v>26</v>
      </c>
      <c r="H135" s="11">
        <f>I131/G131</f>
        <v>0.24902723735408561</v>
      </c>
      <c r="K135"/>
      <c r="M135" s="2" t="s">
        <v>26</v>
      </c>
      <c r="N135" s="11">
        <f>O131/M131</f>
        <v>0.94814814814814818</v>
      </c>
    </row>
    <row r="136" spans="1:16" x14ac:dyDescent="0.25">
      <c r="E136"/>
      <c r="K136"/>
    </row>
    <row r="137" spans="1:16" ht="32.25" thickBot="1" x14ac:dyDescent="0.55000000000000004">
      <c r="A137" s="12" t="s">
        <v>27</v>
      </c>
      <c r="B137" s="13">
        <v>1</v>
      </c>
      <c r="C137" s="2" t="s">
        <v>28</v>
      </c>
      <c r="E137"/>
      <c r="G137" s="12" t="s">
        <v>27</v>
      </c>
      <c r="H137" s="13">
        <v>1</v>
      </c>
      <c r="I137" s="2" t="s">
        <v>28</v>
      </c>
      <c r="K137"/>
      <c r="M137" s="12" t="s">
        <v>27</v>
      </c>
      <c r="N137" s="13">
        <v>1</v>
      </c>
      <c r="O137" s="2" t="s">
        <v>28</v>
      </c>
    </row>
    <row r="138" spans="1:16" ht="15.75" thickTop="1" x14ac:dyDescent="0.25">
      <c r="A138" s="7" t="s">
        <v>29</v>
      </c>
      <c r="B138" s="7">
        <v>31.142900000000001</v>
      </c>
      <c r="C138" s="14">
        <f>B155/B116</f>
        <v>7.1443633873107908</v>
      </c>
      <c r="E138"/>
      <c r="G138" s="7" t="s">
        <v>29</v>
      </c>
      <c r="H138" s="7">
        <v>38.400799999999997</v>
      </c>
      <c r="I138" s="14">
        <f>H155/H116</f>
        <v>12.725600766015624</v>
      </c>
      <c r="K138"/>
      <c r="M138" s="7" t="s">
        <v>29</v>
      </c>
      <c r="N138" s="7">
        <v>11.117800000000001</v>
      </c>
      <c r="O138" s="14">
        <f>N155/N116</f>
        <v>3.9521830333557126</v>
      </c>
    </row>
    <row r="139" spans="1:16" x14ac:dyDescent="0.25">
      <c r="A139" s="7" t="s">
        <v>30</v>
      </c>
      <c r="B139" s="7">
        <v>0</v>
      </c>
      <c r="C139" s="14">
        <f>B139/298</f>
        <v>0</v>
      </c>
      <c r="E139"/>
      <c r="G139" s="7" t="s">
        <v>30</v>
      </c>
      <c r="H139" s="7">
        <v>0</v>
      </c>
      <c r="I139" s="14">
        <f>H139/298</f>
        <v>0</v>
      </c>
      <c r="K139"/>
      <c r="M139" s="7" t="s">
        <v>30</v>
      </c>
      <c r="N139" s="7">
        <v>0</v>
      </c>
      <c r="O139" s="14">
        <f>N139/298</f>
        <v>0</v>
      </c>
    </row>
    <row r="140" spans="1:16" x14ac:dyDescent="0.25">
      <c r="A140" s="15">
        <v>0.75</v>
      </c>
      <c r="B140" s="7">
        <v>0</v>
      </c>
      <c r="C140" s="14">
        <f>B140/B116</f>
        <v>0</v>
      </c>
      <c r="E140"/>
      <c r="G140" s="15">
        <v>0.75</v>
      </c>
      <c r="H140" s="7">
        <v>0</v>
      </c>
      <c r="I140" s="14">
        <f>H140/H116</f>
        <v>0</v>
      </c>
      <c r="K140"/>
      <c r="M140" s="15">
        <v>0.75</v>
      </c>
      <c r="N140" s="7">
        <v>0</v>
      </c>
      <c r="O140" s="14">
        <f>N140/N116</f>
        <v>0</v>
      </c>
    </row>
    <row r="141" spans="1:16" x14ac:dyDescent="0.25">
      <c r="A141" s="7" t="s">
        <v>31</v>
      </c>
      <c r="B141" s="7">
        <v>5556</v>
      </c>
      <c r="C141" s="14">
        <f>B141/B116</f>
        <v>0.339111328125</v>
      </c>
      <c r="E141"/>
      <c r="G141" s="7" t="s">
        <v>31</v>
      </c>
      <c r="H141" s="7">
        <v>4549</v>
      </c>
      <c r="I141" s="14">
        <f>H141/H116</f>
        <v>0.27764892578125</v>
      </c>
      <c r="K141"/>
      <c r="M141" s="7" t="s">
        <v>31</v>
      </c>
      <c r="N141" s="7">
        <v>4587</v>
      </c>
      <c r="O141" s="14">
        <f>N141/N116</f>
        <v>0.27996826171875</v>
      </c>
    </row>
    <row r="142" spans="1:16" x14ac:dyDescent="0.25">
      <c r="A142" s="7" t="s">
        <v>32</v>
      </c>
      <c r="B142" s="7">
        <v>338.6</v>
      </c>
      <c r="C142" s="14">
        <f>B142/B116</f>
        <v>2.0666503906250001E-2</v>
      </c>
      <c r="E142"/>
      <c r="G142" s="7" t="s">
        <v>32</v>
      </c>
      <c r="H142" s="7">
        <v>339.49160000000001</v>
      </c>
      <c r="I142" s="14">
        <f>H142/H116</f>
        <v>2.07209228515625E-2</v>
      </c>
      <c r="K142"/>
      <c r="M142" s="7" t="s">
        <v>32</v>
      </c>
      <c r="N142" s="7">
        <v>184.10429999999999</v>
      </c>
      <c r="O142" s="14">
        <f>N142/N116</f>
        <v>1.1236834716796875E-2</v>
      </c>
    </row>
    <row r="143" spans="1:16" x14ac:dyDescent="0.25">
      <c r="A143" s="7"/>
      <c r="B143" s="7"/>
      <c r="C143" s="14"/>
      <c r="E143"/>
      <c r="G143" s="7"/>
      <c r="H143" s="7"/>
      <c r="I143" s="14"/>
      <c r="K143"/>
      <c r="M143" s="7"/>
      <c r="N143" s="7"/>
      <c r="O143" s="14"/>
    </row>
    <row r="144" spans="1:16" ht="32.25" thickBot="1" x14ac:dyDescent="0.55000000000000004">
      <c r="A144" s="12" t="s">
        <v>27</v>
      </c>
      <c r="B144" s="13">
        <v>2</v>
      </c>
      <c r="C144" s="2" t="s">
        <v>28</v>
      </c>
      <c r="E144"/>
      <c r="G144" s="12" t="s">
        <v>27</v>
      </c>
      <c r="H144" s="13">
        <v>2</v>
      </c>
      <c r="I144" s="2" t="s">
        <v>28</v>
      </c>
      <c r="K144"/>
      <c r="M144" s="12" t="s">
        <v>27</v>
      </c>
      <c r="N144" s="13">
        <v>2</v>
      </c>
      <c r="O144" s="2" t="s">
        <v>28</v>
      </c>
    </row>
    <row r="145" spans="1:64" ht="15.75" thickTop="1" x14ac:dyDescent="0.25">
      <c r="A145" s="7" t="s">
        <v>29</v>
      </c>
      <c r="B145" s="7">
        <v>28.563099999999999</v>
      </c>
      <c r="C145" s="14" t="e">
        <f>B145/B123</f>
        <v>#DIV/0!</v>
      </c>
      <c r="E145"/>
      <c r="G145" s="7" t="s">
        <v>29</v>
      </c>
      <c r="H145" s="7">
        <v>43.358699999999999</v>
      </c>
      <c r="I145" s="14" t="e">
        <f>H145/H123</f>
        <v>#DIV/0!</v>
      </c>
      <c r="K145"/>
      <c r="M145" s="7" t="s">
        <v>29</v>
      </c>
      <c r="N145" s="7">
        <v>12.654</v>
      </c>
      <c r="O145" s="14" t="e">
        <f>N145/N123</f>
        <v>#DIV/0!</v>
      </c>
    </row>
    <row r="146" spans="1:64" x14ac:dyDescent="0.25">
      <c r="A146" s="7" t="s">
        <v>30</v>
      </c>
      <c r="B146" s="7">
        <v>0</v>
      </c>
      <c r="C146" s="14">
        <f>B146/298</f>
        <v>0</v>
      </c>
      <c r="E146"/>
      <c r="G146" s="7" t="s">
        <v>30</v>
      </c>
      <c r="H146" s="7">
        <v>0</v>
      </c>
      <c r="I146" s="14">
        <f>H146/298</f>
        <v>0</v>
      </c>
      <c r="K146"/>
      <c r="M146" s="7" t="s">
        <v>30</v>
      </c>
      <c r="N146" s="7">
        <v>0</v>
      </c>
      <c r="O146" s="14">
        <f>N146/298</f>
        <v>0</v>
      </c>
    </row>
    <row r="147" spans="1:64" s="20" customFormat="1" x14ac:dyDescent="0.25">
      <c r="A147" s="15">
        <v>0.75</v>
      </c>
      <c r="B147" s="7">
        <v>0</v>
      </c>
      <c r="C147" s="14" t="e">
        <f>B147/B123</f>
        <v>#DIV/0!</v>
      </c>
      <c r="D147"/>
      <c r="E147"/>
      <c r="F147"/>
      <c r="G147" s="15">
        <v>0.75</v>
      </c>
      <c r="H147" s="7">
        <v>0</v>
      </c>
      <c r="I147" s="14" t="e">
        <f>H147/H123</f>
        <v>#DIV/0!</v>
      </c>
      <c r="J147"/>
      <c r="K147"/>
      <c r="L147"/>
      <c r="M147" s="15">
        <v>0.75</v>
      </c>
      <c r="N147" s="7">
        <v>0</v>
      </c>
      <c r="O147" s="14" t="e">
        <f>N147/N123</f>
        <v>#DIV/0!</v>
      </c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</row>
    <row r="148" spans="1:64" x14ac:dyDescent="0.25">
      <c r="A148" s="7" t="s">
        <v>31</v>
      </c>
      <c r="B148" s="7">
        <v>5214</v>
      </c>
      <c r="C148" s="14" t="e">
        <f>B148/B123</f>
        <v>#DIV/0!</v>
      </c>
      <c r="E148"/>
      <c r="G148" s="7" t="s">
        <v>31</v>
      </c>
      <c r="H148" s="7">
        <v>5474</v>
      </c>
      <c r="I148" s="14" t="e">
        <f>H148/H123</f>
        <v>#DIV/0!</v>
      </c>
      <c r="K148"/>
      <c r="M148" s="7" t="s">
        <v>31</v>
      </c>
      <c r="N148" s="7">
        <v>5364</v>
      </c>
      <c r="O148" s="14" t="e">
        <f>N148/N123</f>
        <v>#DIV/0!</v>
      </c>
    </row>
    <row r="149" spans="1:64" s="20" customFormat="1" x14ac:dyDescent="0.25">
      <c r="A149" s="7" t="s">
        <v>32</v>
      </c>
      <c r="B149" s="7">
        <v>315.54770000000002</v>
      </c>
      <c r="C149" s="14" t="e">
        <f>B149/B123</f>
        <v>#DIV/0!</v>
      </c>
      <c r="D149"/>
      <c r="E149"/>
      <c r="F149"/>
      <c r="G149" s="7" t="s">
        <v>32</v>
      </c>
      <c r="H149" s="7">
        <v>391.49189999999999</v>
      </c>
      <c r="I149" s="14" t="e">
        <f>H149/H123</f>
        <v>#DIV/0!</v>
      </c>
      <c r="J149"/>
      <c r="K149"/>
      <c r="L149"/>
      <c r="M149" s="7" t="s">
        <v>32</v>
      </c>
      <c r="N149" s="7">
        <v>209.82</v>
      </c>
      <c r="O149" s="14" t="e">
        <f>N149/N123</f>
        <v>#DIV/0!</v>
      </c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</row>
    <row r="150" spans="1:64" s="20" customFormat="1" x14ac:dyDescent="0.2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</row>
    <row r="151" spans="1:64" s="20" customFormat="1" x14ac:dyDescent="0.25">
      <c r="A151" s="1" t="s">
        <v>33</v>
      </c>
      <c r="B151" s="7" t="s">
        <v>34</v>
      </c>
      <c r="C151" s="2" t="s">
        <v>35</v>
      </c>
      <c r="D151"/>
      <c r="E151"/>
      <c r="F151"/>
      <c r="G151" s="1" t="s">
        <v>33</v>
      </c>
      <c r="H151" s="7" t="s">
        <v>34</v>
      </c>
      <c r="I151" s="2" t="s">
        <v>35</v>
      </c>
      <c r="J151"/>
      <c r="K151"/>
      <c r="L151"/>
      <c r="M151" s="1" t="s">
        <v>33</v>
      </c>
      <c r="N151" s="7" t="s">
        <v>34</v>
      </c>
      <c r="O151" s="2" t="s">
        <v>35</v>
      </c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</row>
    <row r="152" spans="1:64" x14ac:dyDescent="0.25">
      <c r="A152" s="1">
        <v>5000</v>
      </c>
      <c r="B152" s="16">
        <v>215</v>
      </c>
      <c r="C152" s="17">
        <f>B152/A152</f>
        <v>4.2999999999999997E-2</v>
      </c>
      <c r="E152"/>
      <c r="G152" s="1">
        <v>5000</v>
      </c>
      <c r="H152" s="16">
        <v>341</v>
      </c>
      <c r="I152" s="17">
        <f>H152/G152</f>
        <v>6.8199999999999997E-2</v>
      </c>
      <c r="K152"/>
      <c r="M152" s="1">
        <v>5000</v>
      </c>
      <c r="N152" s="16">
        <v>102</v>
      </c>
      <c r="O152" s="17">
        <f>N152/M152</f>
        <v>2.0400000000000001E-2</v>
      </c>
    </row>
    <row r="153" spans="1:64" s="20" customFormat="1" x14ac:dyDescent="0.2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</row>
    <row r="154" spans="1:64" s="20" customFormat="1" ht="32.25" thickBot="1" x14ac:dyDescent="0.55000000000000004">
      <c r="A154" s="12" t="s">
        <v>36</v>
      </c>
      <c r="B154" s="13">
        <v>1</v>
      </c>
      <c r="C154"/>
      <c r="D154"/>
      <c r="E154"/>
      <c r="F154"/>
      <c r="G154" s="12" t="s">
        <v>36</v>
      </c>
      <c r="H154" s="13">
        <v>1</v>
      </c>
      <c r="I154"/>
      <c r="J154"/>
      <c r="K154"/>
      <c r="L154"/>
      <c r="M154" s="12" t="s">
        <v>36</v>
      </c>
      <c r="N154" s="13">
        <v>1</v>
      </c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</row>
    <row r="155" spans="1:64" s="20" customFormat="1" ht="15.75" thickTop="1" x14ac:dyDescent="0.25">
      <c r="A155" s="7" t="s">
        <v>29</v>
      </c>
      <c r="B155" s="7">
        <f>117053249.7377/1000</f>
        <v>117053.2497377</v>
      </c>
      <c r="C155"/>
      <c r="D155"/>
      <c r="E155"/>
      <c r="F155"/>
      <c r="G155" s="7" t="s">
        <v>29</v>
      </c>
      <c r="H155" s="7">
        <f>208496242.9504/1000</f>
        <v>208496.24295039999</v>
      </c>
      <c r="I155"/>
      <c r="J155"/>
      <c r="K155"/>
      <c r="L155"/>
      <c r="M155" s="7" t="s">
        <v>29</v>
      </c>
      <c r="N155" s="7">
        <f>64752566.8185/1000</f>
        <v>64752.566818499996</v>
      </c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</row>
    <row r="156" spans="1:64" s="20" customFormat="1" x14ac:dyDescent="0.25">
      <c r="A156" s="7" t="s">
        <v>30</v>
      </c>
      <c r="B156" s="7">
        <f>113272681/1000</f>
        <v>113272.681</v>
      </c>
      <c r="C156"/>
      <c r="D156"/>
      <c r="E156"/>
      <c r="F156"/>
      <c r="G156" s="7" t="s">
        <v>30</v>
      </c>
      <c r="H156" s="7">
        <f>206162430/1000</f>
        <v>206162.43</v>
      </c>
      <c r="I156"/>
      <c r="J156"/>
      <c r="K156"/>
      <c r="L156"/>
      <c r="M156" s="7" t="s">
        <v>30</v>
      </c>
      <c r="N156" s="7">
        <f>63545747/1000</f>
        <v>63545.747000000003</v>
      </c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</row>
    <row r="157" spans="1:64" s="20" customFormat="1" x14ac:dyDescent="0.25">
      <c r="A157" s="15">
        <f>75%</f>
        <v>0.75</v>
      </c>
      <c r="B157" s="7">
        <f>172060873/1000</f>
        <v>172060.87299999999</v>
      </c>
      <c r="C157" s="18"/>
      <c r="D157"/>
      <c r="E157"/>
      <c r="F157"/>
      <c r="G157" s="15">
        <f>75%</f>
        <v>0.75</v>
      </c>
      <c r="H157" s="7">
        <f>308021361/1000</f>
        <v>308021.36099999998</v>
      </c>
      <c r="I157" s="18"/>
      <c r="J157"/>
      <c r="K157"/>
      <c r="L157"/>
      <c r="M157" s="15">
        <f>75%</f>
        <v>0.75</v>
      </c>
      <c r="N157" s="7">
        <f>93969012/1000</f>
        <v>93969.012000000002</v>
      </c>
      <c r="O157" s="18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</row>
    <row r="158" spans="1:64" s="20" customFormat="1" x14ac:dyDescent="0.25">
      <c r="A158" s="7" t="s">
        <v>31</v>
      </c>
      <c r="B158" s="7">
        <f>224300709/1000</f>
        <v>224300.709</v>
      </c>
      <c r="C158" s="18"/>
      <c r="D158"/>
      <c r="E158"/>
      <c r="F158"/>
      <c r="G158" s="7" t="s">
        <v>31</v>
      </c>
      <c r="H158" s="7">
        <f>404200612/1000</f>
        <v>404200.61200000002</v>
      </c>
      <c r="I158" s="18"/>
      <c r="J158"/>
      <c r="K158"/>
      <c r="L158"/>
      <c r="M158" s="7" t="s">
        <v>31</v>
      </c>
      <c r="N158" s="7">
        <f>122883247/1000</f>
        <v>122883.247</v>
      </c>
      <c r="O158" s="1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</row>
    <row r="159" spans="1:64" x14ac:dyDescent="0.25">
      <c r="A159" s="7" t="s">
        <v>32</v>
      </c>
      <c r="B159" s="7">
        <f>64326879.6224/1000</f>
        <v>64326.879622400003</v>
      </c>
      <c r="C159" s="18"/>
      <c r="E159"/>
      <c r="G159" s="7" t="s">
        <v>32</v>
      </c>
      <c r="H159" s="7">
        <f>115982567.6329/1000</f>
        <v>115982.5676329</v>
      </c>
      <c r="I159" s="18"/>
      <c r="K159"/>
      <c r="M159" s="7" t="s">
        <v>32</v>
      </c>
      <c r="N159" s="7">
        <f>34244043.175/1000</f>
        <v>34244.043174999999</v>
      </c>
      <c r="O159" s="18"/>
    </row>
    <row r="160" spans="1:64" s="20" customFormat="1" x14ac:dyDescent="0.2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</row>
    <row r="161" spans="1:161" s="20" customFormat="1" ht="32.25" thickBot="1" x14ac:dyDescent="0.55000000000000004">
      <c r="A161" s="12" t="s">
        <v>37</v>
      </c>
      <c r="B161" s="13">
        <v>2</v>
      </c>
      <c r="C161"/>
      <c r="D161"/>
      <c r="E161"/>
      <c r="F161"/>
      <c r="G161" s="12" t="s">
        <v>37</v>
      </c>
      <c r="H161" s="13">
        <v>2</v>
      </c>
      <c r="I161"/>
      <c r="J161"/>
      <c r="K161"/>
      <c r="L161"/>
      <c r="M161" s="12" t="s">
        <v>37</v>
      </c>
      <c r="N161" s="13">
        <v>2</v>
      </c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</row>
    <row r="162" spans="1:161" ht="15.75" thickTop="1" x14ac:dyDescent="0.25">
      <c r="A162" s="7" t="s">
        <v>29</v>
      </c>
      <c r="B162" s="7"/>
      <c r="E162"/>
      <c r="G162" s="7" t="s">
        <v>29</v>
      </c>
      <c r="H162" s="7"/>
      <c r="K162"/>
      <c r="M162" s="7" t="s">
        <v>29</v>
      </c>
      <c r="N162" s="7"/>
    </row>
    <row r="163" spans="1:161" s="20" customFormat="1" x14ac:dyDescent="0.25">
      <c r="A163" s="7" t="s">
        <v>30</v>
      </c>
      <c r="B163" s="7"/>
      <c r="C163"/>
      <c r="D163"/>
      <c r="E163"/>
      <c r="F163"/>
      <c r="G163" s="7" t="s">
        <v>30</v>
      </c>
      <c r="H163" s="7"/>
      <c r="I163"/>
      <c r="J163"/>
      <c r="K163"/>
      <c r="L163"/>
      <c r="M163" s="7" t="s">
        <v>30</v>
      </c>
      <c r="N163" s="7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</row>
    <row r="164" spans="1:161" s="20" customFormat="1" x14ac:dyDescent="0.25">
      <c r="A164" s="15">
        <f>75%</f>
        <v>0.75</v>
      </c>
      <c r="B164" s="7"/>
      <c r="C164"/>
      <c r="D164"/>
      <c r="E164"/>
      <c r="F164"/>
      <c r="G164" s="15">
        <f>75%</f>
        <v>0.75</v>
      </c>
      <c r="H164" s="7"/>
      <c r="I164"/>
      <c r="J164"/>
      <c r="K164"/>
      <c r="L164"/>
      <c r="M164" s="15">
        <f>75%</f>
        <v>0.75</v>
      </c>
      <c r="N164" s="7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</row>
    <row r="165" spans="1:161" s="20" customFormat="1" x14ac:dyDescent="0.25">
      <c r="A165" s="7" t="s">
        <v>31</v>
      </c>
      <c r="B165" s="7"/>
      <c r="C165"/>
      <c r="D165"/>
      <c r="E165"/>
      <c r="F165"/>
      <c r="G165" s="7" t="s">
        <v>31</v>
      </c>
      <c r="H165" s="7"/>
      <c r="I165"/>
      <c r="J165"/>
      <c r="K165"/>
      <c r="L165"/>
      <c r="M165" s="7" t="s">
        <v>31</v>
      </c>
      <c r="N165" s="7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</row>
    <row r="166" spans="1:161" s="20" customFormat="1" x14ac:dyDescent="0.25">
      <c r="A166" s="7" t="s">
        <v>32</v>
      </c>
      <c r="B166" s="7"/>
      <c r="C166"/>
      <c r="D166"/>
      <c r="E166"/>
      <c r="F166"/>
      <c r="G166" s="7" t="s">
        <v>32</v>
      </c>
      <c r="H166" s="7"/>
      <c r="I166"/>
      <c r="J166"/>
      <c r="K166"/>
      <c r="L166"/>
      <c r="M166" s="7" t="s">
        <v>32</v>
      </c>
      <c r="N166" s="7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</row>
    <row r="167" spans="1:161" s="20" customFormat="1" x14ac:dyDescent="0.25">
      <c r="A167" s="19"/>
      <c r="B167" s="19"/>
      <c r="C167" s="19"/>
      <c r="D167" s="19"/>
      <c r="E167"/>
      <c r="F167"/>
      <c r="G167" s="19"/>
      <c r="H167" s="19"/>
      <c r="I167" s="19"/>
      <c r="J167" s="19"/>
      <c r="K167"/>
      <c r="L167"/>
      <c r="M167" s="19"/>
      <c r="N167" s="19"/>
      <c r="O167" s="19"/>
      <c r="P167" s="19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</row>
    <row r="168" spans="1:161" s="20" customFormat="1" x14ac:dyDescent="0.25">
      <c r="A168" s="19"/>
      <c r="B168" s="19"/>
      <c r="C168" s="19"/>
      <c r="D168" s="19"/>
      <c r="E168"/>
      <c r="F168"/>
      <c r="G168" s="19"/>
      <c r="H168" s="19"/>
      <c r="I168" s="19"/>
      <c r="J168" s="19"/>
      <c r="K168"/>
      <c r="L168"/>
      <c r="M168" s="19"/>
      <c r="N168" s="19"/>
      <c r="O168" s="19"/>
      <c r="P168" s="19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</row>
    <row r="169" spans="1:161" s="20" customFormat="1" x14ac:dyDescent="0.25">
      <c r="A169" s="19"/>
      <c r="B169" s="19"/>
      <c r="C169" s="19"/>
      <c r="D169" s="19"/>
      <c r="E169"/>
      <c r="F169"/>
      <c r="G169" s="19"/>
      <c r="H169" s="19"/>
      <c r="I169" s="19"/>
      <c r="J169" s="19"/>
      <c r="K169"/>
      <c r="L169"/>
      <c r="M169" s="19"/>
      <c r="N169" s="19"/>
      <c r="O169" s="19"/>
      <c r="P169" s="1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</row>
    <row r="170" spans="1:161" s="20" customFormat="1" x14ac:dyDescent="0.2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</row>
    <row r="171" spans="1:161" s="20" customFormat="1" x14ac:dyDescent="0.2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</row>
    <row r="172" spans="1:161" s="20" customFormat="1" x14ac:dyDescent="0.2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</row>
    <row r="173" spans="1:161" s="20" customFormat="1" x14ac:dyDescent="0.2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</row>
    <row r="174" spans="1:161" s="20" customFormat="1" x14ac:dyDescent="0.2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</row>
    <row r="175" spans="1:161" s="20" customFormat="1" x14ac:dyDescent="0.2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</row>
    <row r="176" spans="1:161" s="20" customFormat="1" x14ac:dyDescent="0.2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</row>
    <row r="177" spans="1:161" x14ac:dyDescent="0.25">
      <c r="E177"/>
      <c r="K177"/>
    </row>
    <row r="178" spans="1:161" s="20" customFormat="1" x14ac:dyDescent="0.2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</row>
    <row r="179" spans="1:161" s="20" customFormat="1" x14ac:dyDescent="0.2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</row>
    <row r="180" spans="1:161" s="20" customFormat="1" x14ac:dyDescent="0.2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</row>
    <row r="181" spans="1:161" x14ac:dyDescent="0.25">
      <c r="E181"/>
      <c r="K181"/>
    </row>
    <row r="182" spans="1:161" s="20" customFormat="1" x14ac:dyDescent="0.2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</row>
    <row r="183" spans="1:161" x14ac:dyDescent="0.25">
      <c r="E183"/>
      <c r="K183"/>
    </row>
    <row r="184" spans="1:161" s="20" customFormat="1" x14ac:dyDescent="0.2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</row>
    <row r="185" spans="1:161" x14ac:dyDescent="0.25">
      <c r="E185"/>
      <c r="K185"/>
    </row>
    <row r="186" spans="1:161" s="20" customFormat="1" x14ac:dyDescent="0.2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/>
      <c r="CO186"/>
      <c r="CP186"/>
      <c r="CQ186"/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</row>
    <row r="187" spans="1:161" s="20" customFormat="1" x14ac:dyDescent="0.2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</row>
    <row r="188" spans="1:161" s="20" customFormat="1" x14ac:dyDescent="0.2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</row>
    <row r="189" spans="1:161" s="20" customFormat="1" x14ac:dyDescent="0.2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</row>
    <row r="190" spans="1:161" x14ac:dyDescent="0.25">
      <c r="E190"/>
      <c r="K190"/>
    </row>
    <row r="191" spans="1:161" s="20" customFormat="1" x14ac:dyDescent="0.2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</row>
    <row r="192" spans="1:161" s="20" customFormat="1" x14ac:dyDescent="0.2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</row>
    <row r="193" spans="1:161" s="20" customFormat="1" x14ac:dyDescent="0.2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</row>
    <row r="194" spans="1:161" x14ac:dyDescent="0.25">
      <c r="E194"/>
      <c r="K194"/>
    </row>
    <row r="195" spans="1:161" s="20" customFormat="1" x14ac:dyDescent="0.2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</row>
    <row r="196" spans="1:161" s="20" customFormat="1" x14ac:dyDescent="0.2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</row>
    <row r="197" spans="1:161" s="20" customFormat="1" x14ac:dyDescent="0.2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</row>
    <row r="198" spans="1:161" s="20" customFormat="1" x14ac:dyDescent="0.2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</row>
    <row r="199" spans="1:161" s="20" customFormat="1" x14ac:dyDescent="0.2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</row>
    <row r="200" spans="1:161" s="20" customFormat="1" x14ac:dyDescent="0.2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</row>
    <row r="201" spans="1:161" x14ac:dyDescent="0.25">
      <c r="E201"/>
      <c r="K201"/>
    </row>
    <row r="202" spans="1:161" s="20" customFormat="1" x14ac:dyDescent="0.2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/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</row>
    <row r="203" spans="1:161" s="20" customFormat="1" x14ac:dyDescent="0.2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</row>
    <row r="204" spans="1:161" x14ac:dyDescent="0.25">
      <c r="E204"/>
      <c r="K204"/>
    </row>
    <row r="205" spans="1:161" s="20" customFormat="1" x14ac:dyDescent="0.2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</row>
    <row r="206" spans="1:161" s="20" customFormat="1" x14ac:dyDescent="0.2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</row>
    <row r="207" spans="1:161" s="20" customFormat="1" x14ac:dyDescent="0.2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</row>
    <row r="208" spans="1:161" s="20" customFormat="1" x14ac:dyDescent="0.2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</row>
    <row r="209" spans="1:161" s="20" customFormat="1" x14ac:dyDescent="0.2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</row>
    <row r="210" spans="1:161" s="20" customFormat="1" x14ac:dyDescent="0.2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</row>
    <row r="211" spans="1:161" s="20" customFormat="1" x14ac:dyDescent="0.2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</row>
    <row r="212" spans="1:161" s="20" customFormat="1" x14ac:dyDescent="0.2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</row>
    <row r="213" spans="1:161" s="20" customFormat="1" x14ac:dyDescent="0.2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</row>
    <row r="214" spans="1:161" s="20" customFormat="1" x14ac:dyDescent="0.2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</row>
    <row r="215" spans="1:161" s="20" customFormat="1" x14ac:dyDescent="0.2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</row>
    <row r="216" spans="1:161" s="20" customFormat="1" x14ac:dyDescent="0.2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/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</row>
    <row r="217" spans="1:161" s="20" customFormat="1" x14ac:dyDescent="0.2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</row>
    <row r="218" spans="1:161" s="20" customFormat="1" x14ac:dyDescent="0.2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/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/>
      <c r="ER218"/>
      <c r="ES218"/>
      <c r="ET218"/>
      <c r="EU218"/>
      <c r="EV218"/>
      <c r="EW218"/>
      <c r="EX218"/>
      <c r="EY218"/>
      <c r="EZ218"/>
      <c r="FA218"/>
      <c r="FB218"/>
      <c r="FC218"/>
      <c r="FD218"/>
      <c r="FE218"/>
    </row>
    <row r="219" spans="1:161" x14ac:dyDescent="0.25">
      <c r="E219"/>
      <c r="K219"/>
    </row>
    <row r="220" spans="1:161" s="20" customFormat="1" x14ac:dyDescent="0.2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/>
      <c r="CB220"/>
      <c r="CC220"/>
      <c r="CD220"/>
      <c r="CE220"/>
      <c r="CF220"/>
      <c r="CG220"/>
      <c r="CH220"/>
      <c r="CI220"/>
      <c r="CJ220"/>
      <c r="CK220"/>
      <c r="CL220"/>
      <c r="CM220"/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</row>
    <row r="221" spans="1:161" s="20" customFormat="1" x14ac:dyDescent="0.2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/>
      <c r="CC221"/>
      <c r="CD221"/>
      <c r="CE221"/>
      <c r="CF221"/>
      <c r="CG221"/>
      <c r="CH221"/>
      <c r="CI221"/>
      <c r="CJ221"/>
      <c r="CK221"/>
      <c r="CL221"/>
      <c r="CM221"/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</row>
    <row r="222" spans="1:161" s="20" customFormat="1" x14ac:dyDescent="0.2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/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/>
      <c r="FE222"/>
    </row>
    <row r="223" spans="1:161" x14ac:dyDescent="0.25">
      <c r="E223"/>
      <c r="K223"/>
    </row>
    <row r="224" spans="1:161" s="20" customFormat="1" x14ac:dyDescent="0.2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/>
      <c r="CC224"/>
      <c r="CD224"/>
      <c r="CE224"/>
      <c r="CF224"/>
      <c r="CG224"/>
      <c r="CH224"/>
      <c r="CI224"/>
      <c r="CJ224"/>
      <c r="CK224"/>
      <c r="CL224"/>
      <c r="CM224"/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</row>
    <row r="225" spans="1:161" x14ac:dyDescent="0.25">
      <c r="E225"/>
      <c r="K225"/>
    </row>
    <row r="226" spans="1:161" s="20" customFormat="1" x14ac:dyDescent="0.2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</row>
    <row r="227" spans="1:161" x14ac:dyDescent="0.25">
      <c r="E227"/>
      <c r="K227"/>
    </row>
    <row r="228" spans="1:161" s="20" customFormat="1" x14ac:dyDescent="0.2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/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/>
      <c r="FE228"/>
    </row>
    <row r="229" spans="1:161" s="20" customFormat="1" x14ac:dyDescent="0.2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/>
      <c r="CC229"/>
      <c r="CD229"/>
      <c r="CE229"/>
      <c r="CF229"/>
      <c r="CG229"/>
      <c r="CH229"/>
      <c r="CI229"/>
      <c r="CJ229"/>
      <c r="CK229"/>
      <c r="CL229"/>
      <c r="CM229"/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</row>
    <row r="230" spans="1:161" s="20" customFormat="1" x14ac:dyDescent="0.2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/>
      <c r="CH230"/>
      <c r="CI230"/>
      <c r="CJ230"/>
      <c r="CK230"/>
      <c r="CL230"/>
      <c r="CM230"/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</row>
    <row r="231" spans="1:161" s="20" customFormat="1" x14ac:dyDescent="0.2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/>
      <c r="CC231"/>
      <c r="CD231"/>
      <c r="CE231"/>
      <c r="CF231"/>
      <c r="CG231"/>
      <c r="CH231"/>
      <c r="CI231"/>
      <c r="CJ231"/>
      <c r="CK231"/>
      <c r="CL231"/>
      <c r="CM231"/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</row>
    <row r="232" spans="1:161" x14ac:dyDescent="0.25">
      <c r="E232"/>
      <c r="K232"/>
    </row>
    <row r="233" spans="1:161" s="20" customFormat="1" x14ac:dyDescent="0.2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/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</row>
    <row r="234" spans="1:161" s="20" customFormat="1" x14ac:dyDescent="0.2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/>
      <c r="CC234"/>
      <c r="CD234"/>
      <c r="CE234"/>
      <c r="CF234"/>
      <c r="CG234"/>
      <c r="CH234"/>
      <c r="CI234"/>
      <c r="CJ234"/>
      <c r="CK234"/>
      <c r="CL234"/>
      <c r="CM234"/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</row>
    <row r="235" spans="1:161" s="20" customFormat="1" x14ac:dyDescent="0.2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/>
      <c r="CE235"/>
      <c r="CF235"/>
      <c r="CG235"/>
      <c r="CH235"/>
      <c r="CI235"/>
      <c r="CJ235"/>
      <c r="CK235"/>
      <c r="CL235"/>
      <c r="CM235"/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</row>
    <row r="236" spans="1:161" x14ac:dyDescent="0.25">
      <c r="E236"/>
      <c r="K236"/>
    </row>
    <row r="237" spans="1:161" s="20" customFormat="1" x14ac:dyDescent="0.2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/>
      <c r="CB237"/>
      <c r="CC237"/>
      <c r="CD237"/>
      <c r="CE237"/>
      <c r="CF237"/>
      <c r="CG237"/>
      <c r="CH237"/>
      <c r="CI237"/>
      <c r="CJ237"/>
      <c r="CK237"/>
      <c r="CL237"/>
      <c r="CM237"/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</row>
    <row r="238" spans="1:161" s="20" customFormat="1" x14ac:dyDescent="0.2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/>
      <c r="CC238"/>
      <c r="CD238"/>
      <c r="CE238"/>
      <c r="CF238"/>
      <c r="CG238"/>
      <c r="CH238"/>
      <c r="CI238"/>
      <c r="CJ238"/>
      <c r="CK238"/>
      <c r="CL238"/>
      <c r="CM238"/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</row>
    <row r="239" spans="1:161" s="20" customFormat="1" x14ac:dyDescent="0.2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/>
      <c r="CC239"/>
      <c r="CD239"/>
      <c r="CE239"/>
      <c r="CF239"/>
      <c r="CG239"/>
      <c r="CH239"/>
      <c r="CI239"/>
      <c r="CJ239"/>
      <c r="CK239"/>
      <c r="CL239"/>
      <c r="CM239"/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</row>
    <row r="240" spans="1:161" s="20" customFormat="1" x14ac:dyDescent="0.2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/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</row>
    <row r="241" spans="1:161" s="20" customFormat="1" x14ac:dyDescent="0.2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</row>
    <row r="242" spans="1:161" s="20" customFormat="1" x14ac:dyDescent="0.2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/>
      <c r="CC242"/>
      <c r="CD242"/>
      <c r="CE242"/>
      <c r="CF242"/>
      <c r="CG242"/>
      <c r="CH242"/>
      <c r="CI242"/>
      <c r="CJ242"/>
      <c r="CK242"/>
      <c r="CL242"/>
      <c r="CM242"/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</row>
    <row r="243" spans="1:161" x14ac:dyDescent="0.25">
      <c r="E243"/>
      <c r="K243"/>
    </row>
    <row r="244" spans="1:161" s="20" customFormat="1" x14ac:dyDescent="0.2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/>
      <c r="CB244"/>
      <c r="CC244"/>
      <c r="CD244"/>
      <c r="CE244"/>
      <c r="CF244"/>
      <c r="CG244"/>
      <c r="CH244"/>
      <c r="CI244"/>
      <c r="CJ244"/>
      <c r="CK244"/>
      <c r="CL244"/>
      <c r="CM244"/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</row>
    <row r="245" spans="1:161" s="20" customFormat="1" x14ac:dyDescent="0.2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/>
      <c r="CC245"/>
      <c r="CD245"/>
      <c r="CE245"/>
      <c r="CF245"/>
      <c r="CG245"/>
      <c r="CH245"/>
      <c r="CI245"/>
      <c r="CJ245"/>
      <c r="CK245"/>
      <c r="CL245"/>
      <c r="CM245"/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</row>
    <row r="246" spans="1:161" x14ac:dyDescent="0.25">
      <c r="E246"/>
      <c r="K246"/>
    </row>
    <row r="247" spans="1:161" s="20" customFormat="1" x14ac:dyDescent="0.2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/>
      <c r="CB247"/>
      <c r="CC247"/>
      <c r="CD247"/>
      <c r="CE247"/>
      <c r="CF247"/>
      <c r="CG247"/>
      <c r="CH247"/>
      <c r="CI247"/>
      <c r="CJ247"/>
      <c r="CK247"/>
      <c r="CL247"/>
      <c r="CM247"/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</row>
    <row r="248" spans="1:161" s="20" customFormat="1" x14ac:dyDescent="0.2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/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</row>
    <row r="249" spans="1:161" s="20" customFormat="1" x14ac:dyDescent="0.2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/>
      <c r="CC249"/>
      <c r="CD249"/>
      <c r="CE249"/>
      <c r="CF249"/>
      <c r="CG249"/>
      <c r="CH249"/>
      <c r="CI249"/>
      <c r="CJ249"/>
      <c r="CK249"/>
      <c r="CL249"/>
      <c r="CM249"/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/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/>
      <c r="ET249"/>
      <c r="EU249"/>
      <c r="EV249"/>
      <c r="EW249"/>
      <c r="EX249"/>
      <c r="EY249"/>
      <c r="EZ249"/>
      <c r="FA249"/>
      <c r="FB249"/>
      <c r="FC249"/>
      <c r="FD249"/>
      <c r="FE249"/>
    </row>
    <row r="250" spans="1:161" s="20" customFormat="1" x14ac:dyDescent="0.2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/>
      <c r="CW250"/>
      <c r="CX250"/>
      <c r="CY250"/>
      <c r="CZ250"/>
      <c r="DA250"/>
      <c r="DB250"/>
      <c r="DC250"/>
      <c r="DD250"/>
      <c r="DE250"/>
      <c r="DF250"/>
      <c r="DG250"/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/>
      <c r="FE250"/>
    </row>
    <row r="251" spans="1:161" s="20" customFormat="1" x14ac:dyDescent="0.2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/>
      <c r="CH251"/>
      <c r="CI251"/>
      <c r="CJ251"/>
      <c r="CK251"/>
      <c r="CL251"/>
      <c r="CM251"/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</row>
    <row r="252" spans="1:161" s="20" customFormat="1" x14ac:dyDescent="0.2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/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</row>
    <row r="253" spans="1:161" s="20" customFormat="1" x14ac:dyDescent="0.2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/>
      <c r="CA253"/>
      <c r="CB253"/>
      <c r="CC253"/>
      <c r="CD253"/>
      <c r="CE253"/>
      <c r="CF253"/>
      <c r="CG253"/>
      <c r="CH253"/>
      <c r="CI253"/>
      <c r="CJ253"/>
      <c r="CK253"/>
      <c r="CL253"/>
      <c r="CM253"/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</row>
    <row r="254" spans="1:161" s="20" customFormat="1" x14ac:dyDescent="0.2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/>
      <c r="FE254"/>
    </row>
    <row r="255" spans="1:161" s="20" customFormat="1" x14ac:dyDescent="0.2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/>
      <c r="CC255"/>
      <c r="CD255"/>
      <c r="CE255"/>
      <c r="CF255"/>
      <c r="CG255"/>
      <c r="CH255"/>
      <c r="CI255"/>
      <c r="CJ255"/>
      <c r="CK255"/>
      <c r="CL255"/>
      <c r="CM255"/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</row>
    <row r="256" spans="1:161" s="20" customFormat="1" x14ac:dyDescent="0.25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/>
      <c r="CC256"/>
      <c r="CD256"/>
      <c r="CE256"/>
      <c r="CF256"/>
      <c r="CG256"/>
      <c r="CH256"/>
      <c r="CI256"/>
      <c r="CJ256"/>
      <c r="CK256"/>
      <c r="CL256"/>
      <c r="CM256"/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</row>
    <row r="257" spans="1:161" s="20" customFormat="1" x14ac:dyDescent="0.25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/>
      <c r="CE257"/>
      <c r="CF257"/>
      <c r="CG257"/>
      <c r="CH257"/>
      <c r="CI257"/>
      <c r="CJ257"/>
      <c r="CK257"/>
      <c r="CL257"/>
      <c r="CM257"/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</row>
    <row r="258" spans="1:161" s="20" customFormat="1" x14ac:dyDescent="0.25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/>
      <c r="CC258"/>
      <c r="CD258"/>
      <c r="CE258"/>
      <c r="CF258"/>
      <c r="CG258"/>
      <c r="CH258"/>
      <c r="CI258"/>
      <c r="CJ258"/>
      <c r="CK258"/>
      <c r="CL258"/>
      <c r="CM258"/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</row>
    <row r="259" spans="1:161" s="20" customFormat="1" x14ac:dyDescent="0.25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/>
      <c r="CC259"/>
      <c r="CD259"/>
      <c r="CE259"/>
      <c r="CF259"/>
      <c r="CG259"/>
      <c r="CH259"/>
      <c r="CI259"/>
      <c r="CJ259"/>
      <c r="CK259"/>
      <c r="CL259"/>
      <c r="CM259"/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</row>
    <row r="260" spans="1:161" s="20" customFormat="1" x14ac:dyDescent="0.25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/>
      <c r="CC260"/>
      <c r="CD260"/>
      <c r="CE260"/>
      <c r="CF260"/>
      <c r="CG260"/>
      <c r="CH260"/>
      <c r="CI260"/>
      <c r="CJ260"/>
      <c r="CK260"/>
      <c r="CL260"/>
      <c r="CM260"/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</row>
    <row r="261" spans="1:161" x14ac:dyDescent="0.25">
      <c r="E261"/>
      <c r="K261"/>
    </row>
    <row r="262" spans="1:161" s="20" customFormat="1" x14ac:dyDescent="0.25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/>
      <c r="CC262"/>
      <c r="CD262"/>
      <c r="CE262"/>
      <c r="CF262"/>
      <c r="CG262"/>
      <c r="CH262"/>
      <c r="CI262"/>
      <c r="CJ262"/>
      <c r="CK262"/>
      <c r="CL262"/>
      <c r="CM262"/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</row>
    <row r="263" spans="1:161" s="20" customFormat="1" x14ac:dyDescent="0.25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/>
      <c r="CB263"/>
      <c r="CC263"/>
      <c r="CD263"/>
      <c r="CE263"/>
      <c r="CF263"/>
      <c r="CG263"/>
      <c r="CH263"/>
      <c r="CI263"/>
      <c r="CJ263"/>
      <c r="CK263"/>
      <c r="CL263"/>
      <c r="CM263"/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</row>
    <row r="264" spans="1:161" s="20" customFormat="1" x14ac:dyDescent="0.25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/>
      <c r="CC264"/>
      <c r="CD264"/>
      <c r="CE264"/>
      <c r="CF264"/>
      <c r="CG264"/>
      <c r="CH264"/>
      <c r="CI264"/>
      <c r="CJ264"/>
      <c r="CK264"/>
      <c r="CL264"/>
      <c r="CM264"/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</row>
    <row r="265" spans="1:161" x14ac:dyDescent="0.25">
      <c r="E265"/>
      <c r="K265"/>
    </row>
    <row r="266" spans="1:161" s="20" customFormat="1" x14ac:dyDescent="0.25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/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/>
      <c r="FA266"/>
      <c r="FB266"/>
      <c r="FC266"/>
      <c r="FD266"/>
      <c r="FE266"/>
    </row>
    <row r="267" spans="1:161" x14ac:dyDescent="0.25">
      <c r="E267"/>
      <c r="K267"/>
    </row>
    <row r="268" spans="1:161" s="20" customFormat="1" x14ac:dyDescent="0.25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/>
      <c r="FE268"/>
    </row>
    <row r="269" spans="1:161" x14ac:dyDescent="0.25">
      <c r="E269"/>
      <c r="K269"/>
    </row>
    <row r="270" spans="1:161" s="20" customFormat="1" x14ac:dyDescent="0.25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/>
      <c r="CN270"/>
      <c r="CO270"/>
      <c r="CP270"/>
      <c r="CQ270"/>
      <c r="CR270"/>
      <c r="CS270"/>
      <c r="CT270"/>
      <c r="CU270"/>
      <c r="CV270"/>
      <c r="CW270"/>
      <c r="CX270"/>
      <c r="CY270"/>
      <c r="CZ270"/>
      <c r="DA270"/>
      <c r="DB270"/>
      <c r="DC270"/>
      <c r="DD270"/>
      <c r="DE270"/>
      <c r="DF270"/>
      <c r="DG270"/>
      <c r="DH270"/>
      <c r="DI270"/>
      <c r="DJ270"/>
      <c r="DK270"/>
      <c r="DL270"/>
      <c r="DM270"/>
      <c r="DN270"/>
      <c r="DO270"/>
      <c r="DP270"/>
      <c r="DQ270"/>
      <c r="DR270"/>
      <c r="DS270"/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/>
      <c r="ER270"/>
      <c r="ES270"/>
      <c r="ET270"/>
      <c r="EU270"/>
      <c r="EV270"/>
      <c r="EW270"/>
      <c r="EX270"/>
      <c r="EY270"/>
      <c r="EZ270"/>
      <c r="FA270"/>
      <c r="FB270"/>
      <c r="FC270"/>
      <c r="FD270"/>
      <c r="FE270"/>
    </row>
    <row r="271" spans="1:161" s="20" customFormat="1" x14ac:dyDescent="0.25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/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/>
      <c r="BV271"/>
      <c r="BW271"/>
      <c r="BX271"/>
      <c r="BY271"/>
      <c r="BZ271"/>
      <c r="CA271"/>
      <c r="CB271"/>
      <c r="CC271"/>
      <c r="CD271"/>
      <c r="CE271"/>
      <c r="CF271"/>
      <c r="CG271"/>
      <c r="CH271"/>
      <c r="CI271"/>
      <c r="CJ271"/>
      <c r="CK271"/>
      <c r="CL271"/>
      <c r="CM271"/>
      <c r="CN271"/>
      <c r="CO271"/>
      <c r="CP271"/>
      <c r="CQ271"/>
      <c r="CR271"/>
      <c r="CS271"/>
      <c r="CT271"/>
      <c r="CU271"/>
      <c r="CV271"/>
      <c r="CW271"/>
      <c r="CX271"/>
      <c r="CY271"/>
      <c r="CZ271"/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/>
      <c r="FC271"/>
      <c r="FD271"/>
      <c r="FE271"/>
    </row>
    <row r="272" spans="1:161" s="20" customFormat="1" x14ac:dyDescent="0.25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/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</row>
    <row r="273" spans="1:161" s="20" customFormat="1" x14ac:dyDescent="0.25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</row>
    <row r="274" spans="1:161" x14ac:dyDescent="0.25">
      <c r="E274"/>
      <c r="K274"/>
    </row>
    <row r="275" spans="1:161" s="20" customFormat="1" x14ac:dyDescent="0.25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/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</row>
    <row r="276" spans="1:161" s="20" customFormat="1" x14ac:dyDescent="0.25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/>
      <c r="CC276"/>
      <c r="CD276"/>
      <c r="CE276"/>
      <c r="CF276"/>
      <c r="CG276"/>
      <c r="CH276"/>
      <c r="CI276"/>
      <c r="CJ276"/>
      <c r="CK276"/>
      <c r="CL276"/>
      <c r="CM276"/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</row>
    <row r="277" spans="1:161" s="20" customFormat="1" x14ac:dyDescent="0.25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/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</row>
    <row r="278" spans="1:161" x14ac:dyDescent="0.25">
      <c r="E278"/>
      <c r="K278"/>
    </row>
    <row r="279" spans="1:161" s="20" customFormat="1" x14ac:dyDescent="0.25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/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</row>
    <row r="280" spans="1:161" s="20" customFormat="1" x14ac:dyDescent="0.25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/>
      <c r="CC280"/>
      <c r="CD280"/>
      <c r="CE280"/>
      <c r="CF280"/>
      <c r="CG280"/>
      <c r="CH280"/>
      <c r="CI280"/>
      <c r="CJ280"/>
      <c r="CK280"/>
      <c r="CL280"/>
      <c r="CM280"/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</row>
    <row r="281" spans="1:161" s="20" customFormat="1" x14ac:dyDescent="0.25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/>
      <c r="CV281"/>
      <c r="CW281"/>
      <c r="CX281"/>
      <c r="CY281"/>
      <c r="CZ281"/>
      <c r="DA281"/>
      <c r="DB281"/>
      <c r="DC281"/>
      <c r="DD281"/>
      <c r="DE281"/>
      <c r="DF281"/>
      <c r="DG281"/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/>
      <c r="FE281"/>
    </row>
    <row r="282" spans="1:161" s="20" customFormat="1" x14ac:dyDescent="0.25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/>
      <c r="CC282"/>
      <c r="CD282"/>
      <c r="CE282"/>
      <c r="CF282"/>
      <c r="CG282"/>
      <c r="CH282"/>
      <c r="CI282"/>
      <c r="CJ282"/>
      <c r="CK282"/>
      <c r="CL282"/>
      <c r="CM282"/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</row>
    <row r="283" spans="1:161" s="20" customFormat="1" x14ac:dyDescent="0.25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/>
      <c r="CE283"/>
      <c r="CF283"/>
      <c r="CG283"/>
      <c r="CH283"/>
      <c r="CI283"/>
      <c r="CJ283"/>
      <c r="CK283"/>
      <c r="CL283"/>
      <c r="CM283"/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</row>
    <row r="284" spans="1:161" s="20" customFormat="1" x14ac:dyDescent="0.25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/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</row>
    <row r="285" spans="1:161" x14ac:dyDescent="0.25">
      <c r="E285"/>
      <c r="K285"/>
    </row>
    <row r="286" spans="1:161" s="20" customFormat="1" x14ac:dyDescent="0.25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/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</row>
    <row r="287" spans="1:161" s="20" customFormat="1" x14ac:dyDescent="0.25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/>
      <c r="CH287"/>
      <c r="CI287"/>
      <c r="CJ287"/>
      <c r="CK287"/>
      <c r="CL287"/>
      <c r="CM287"/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</row>
    <row r="288" spans="1:161" x14ac:dyDescent="0.25">
      <c r="E288"/>
      <c r="K288"/>
    </row>
    <row r="289" spans="1:161" s="20" customFormat="1" x14ac:dyDescent="0.25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/>
      <c r="CB289"/>
      <c r="CC289"/>
      <c r="CD289"/>
      <c r="CE289"/>
      <c r="CF289"/>
      <c r="CG289"/>
      <c r="CH289"/>
      <c r="CI289"/>
      <c r="CJ289"/>
      <c r="CK289"/>
      <c r="CL289"/>
      <c r="CM289"/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</row>
    <row r="290" spans="1:161" s="20" customFormat="1" x14ac:dyDescent="0.25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/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</row>
    <row r="291" spans="1:161" s="20" customFormat="1" x14ac:dyDescent="0.25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/>
      <c r="CH291"/>
      <c r="CI291"/>
      <c r="CJ291"/>
      <c r="CK291"/>
      <c r="CL291"/>
      <c r="CM291"/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</row>
    <row r="292" spans="1:161" s="20" customFormat="1" x14ac:dyDescent="0.25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/>
      <c r="CC292"/>
      <c r="CD292"/>
      <c r="CE292"/>
      <c r="CF292"/>
      <c r="CG292"/>
      <c r="CH292"/>
      <c r="CI292"/>
      <c r="CJ292"/>
      <c r="CK292"/>
      <c r="CL292"/>
      <c r="CM292"/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</row>
    <row r="293" spans="1:161" s="20" customFormat="1" x14ac:dyDescent="0.25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/>
      <c r="CH293"/>
      <c r="CI293"/>
      <c r="CJ293"/>
      <c r="CK293"/>
      <c r="CL293"/>
      <c r="CM293"/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</row>
    <row r="294" spans="1:161" s="20" customFormat="1" x14ac:dyDescent="0.25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/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</row>
    <row r="295" spans="1:161" s="20" customFormat="1" x14ac:dyDescent="0.25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/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</row>
    <row r="296" spans="1:161" s="20" customFormat="1" x14ac:dyDescent="0.25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/>
      <c r="CC296"/>
      <c r="CD296"/>
      <c r="CE296"/>
      <c r="CF296"/>
      <c r="CG296"/>
      <c r="CH296"/>
      <c r="CI296"/>
      <c r="CJ296"/>
      <c r="CK296"/>
      <c r="CL296"/>
      <c r="CM296"/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</row>
    <row r="297" spans="1:161" s="20" customFormat="1" x14ac:dyDescent="0.25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/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</row>
    <row r="298" spans="1:161" s="20" customFormat="1" x14ac:dyDescent="0.25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/>
      <c r="CC298"/>
      <c r="CD298"/>
      <c r="CE298"/>
      <c r="CF298"/>
      <c r="CG298"/>
      <c r="CH298"/>
      <c r="CI298"/>
      <c r="CJ298"/>
      <c r="CK298"/>
      <c r="CL298"/>
      <c r="CM298"/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</row>
    <row r="299" spans="1:161" s="20" customFormat="1" x14ac:dyDescent="0.25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/>
      <c r="CC299"/>
      <c r="CD299"/>
      <c r="CE299"/>
      <c r="CF299"/>
      <c r="CG299"/>
      <c r="CH299"/>
      <c r="CI299"/>
      <c r="CJ299"/>
      <c r="CK299"/>
      <c r="CL299"/>
      <c r="CM299"/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</row>
    <row r="300" spans="1:161" s="20" customFormat="1" x14ac:dyDescent="0.25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/>
      <c r="CH300"/>
      <c r="CI300"/>
      <c r="CJ300"/>
      <c r="CK300"/>
      <c r="CL300"/>
      <c r="CM300"/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</row>
    <row r="301" spans="1:161" s="20" customFormat="1" x14ac:dyDescent="0.25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/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</row>
    <row r="302" spans="1:161" s="20" customFormat="1" x14ac:dyDescent="0.25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/>
      <c r="CC302"/>
      <c r="CD302"/>
      <c r="CE302"/>
      <c r="CF302"/>
      <c r="CG302"/>
      <c r="CH302"/>
      <c r="CI302"/>
      <c r="CJ302"/>
      <c r="CK302"/>
      <c r="CL302"/>
      <c r="CM302"/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</row>
    <row r="303" spans="1:161" x14ac:dyDescent="0.25">
      <c r="E303"/>
      <c r="K303"/>
    </row>
    <row r="304" spans="1:161" s="20" customFormat="1" x14ac:dyDescent="0.25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/>
      <c r="CC304"/>
      <c r="CD304"/>
      <c r="CE304"/>
      <c r="CF304"/>
      <c r="CG304"/>
      <c r="CH304"/>
      <c r="CI304"/>
      <c r="CJ304"/>
      <c r="CK304"/>
      <c r="CL304"/>
      <c r="CM304"/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</row>
    <row r="305" spans="1:161" s="20" customFormat="1" x14ac:dyDescent="0.25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/>
      <c r="CC305"/>
      <c r="CD305"/>
      <c r="CE305"/>
      <c r="CF305"/>
      <c r="CG305"/>
      <c r="CH305"/>
      <c r="CI305"/>
      <c r="CJ305"/>
      <c r="CK305"/>
      <c r="CL305"/>
      <c r="CM305"/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</row>
    <row r="306" spans="1:161" s="20" customFormat="1" x14ac:dyDescent="0.25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/>
      <c r="CC306"/>
      <c r="CD306"/>
      <c r="CE306"/>
      <c r="CF306"/>
      <c r="CG306"/>
      <c r="CH306"/>
      <c r="CI306"/>
      <c r="CJ306"/>
      <c r="CK306"/>
      <c r="CL306"/>
      <c r="CM306"/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</row>
    <row r="307" spans="1:161" x14ac:dyDescent="0.25">
      <c r="E307"/>
      <c r="K307"/>
    </row>
    <row r="308" spans="1:161" s="20" customFormat="1" x14ac:dyDescent="0.25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/>
      <c r="CC308"/>
      <c r="CD308"/>
      <c r="CE308"/>
      <c r="CF308"/>
      <c r="CG308"/>
      <c r="CH308"/>
      <c r="CI308"/>
      <c r="CJ308"/>
      <c r="CK308"/>
      <c r="CL308"/>
      <c r="CM308"/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</row>
    <row r="309" spans="1:161" x14ac:dyDescent="0.25">
      <c r="E309"/>
      <c r="K309"/>
    </row>
    <row r="310" spans="1:161" s="20" customFormat="1" x14ac:dyDescent="0.25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/>
      <c r="CH310"/>
      <c r="CI310"/>
      <c r="CJ310"/>
      <c r="CK310"/>
      <c r="CL310"/>
      <c r="CM310"/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</row>
    <row r="311" spans="1:161" x14ac:dyDescent="0.25">
      <c r="E311"/>
      <c r="K311"/>
    </row>
    <row r="312" spans="1:161" s="20" customFormat="1" x14ac:dyDescent="0.25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/>
      <c r="CC312"/>
      <c r="CD312"/>
      <c r="CE312"/>
      <c r="CF312"/>
      <c r="CG312"/>
      <c r="CH312"/>
      <c r="CI312"/>
      <c r="CJ312"/>
      <c r="CK312"/>
      <c r="CL312"/>
      <c r="CM312"/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</row>
    <row r="313" spans="1:161" s="20" customFormat="1" x14ac:dyDescent="0.25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</row>
    <row r="314" spans="1:161" s="20" customFormat="1" x14ac:dyDescent="0.25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/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</row>
    <row r="315" spans="1:161" s="20" customFormat="1" x14ac:dyDescent="0.25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/>
      <c r="CB315"/>
      <c r="CC315"/>
      <c r="CD315"/>
      <c r="CE315"/>
      <c r="CF315"/>
      <c r="CG315"/>
      <c r="CH315"/>
      <c r="CI315"/>
      <c r="CJ315"/>
      <c r="CK315"/>
      <c r="CL315"/>
      <c r="CM315"/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</row>
    <row r="316" spans="1:161" x14ac:dyDescent="0.25">
      <c r="E316"/>
      <c r="K316"/>
    </row>
    <row r="317" spans="1:161" s="20" customFormat="1" x14ac:dyDescent="0.25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/>
      <c r="CC317"/>
      <c r="CD317"/>
      <c r="CE317"/>
      <c r="CF317"/>
      <c r="CG317"/>
      <c r="CH317"/>
      <c r="CI317"/>
      <c r="CJ317"/>
      <c r="CK317"/>
      <c r="CL317"/>
      <c r="CM317"/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</row>
    <row r="318" spans="1:161" s="20" customFormat="1" x14ac:dyDescent="0.25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/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</row>
    <row r="319" spans="1:161" s="20" customFormat="1" x14ac:dyDescent="0.25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</row>
    <row r="320" spans="1:161" x14ac:dyDescent="0.25">
      <c r="E320"/>
      <c r="K320"/>
    </row>
    <row r="321" spans="1:161" s="20" customFormat="1" x14ac:dyDescent="0.25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</row>
    <row r="322" spans="1:161" s="20" customFormat="1" x14ac:dyDescent="0.25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</row>
    <row r="323" spans="1:161" s="20" customFormat="1" x14ac:dyDescent="0.25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</row>
    <row r="324" spans="1:161" s="20" customFormat="1" x14ac:dyDescent="0.25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</row>
    <row r="325" spans="1:161" s="20" customFormat="1" x14ac:dyDescent="0.25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</row>
    <row r="326" spans="1:161" s="20" customFormat="1" x14ac:dyDescent="0.25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</row>
    <row r="327" spans="1:161" x14ac:dyDescent="0.25">
      <c r="E327"/>
      <c r="K327"/>
    </row>
    <row r="328" spans="1:161" s="20" customFormat="1" x14ac:dyDescent="0.25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/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</row>
    <row r="329" spans="1:161" s="20" customFormat="1" x14ac:dyDescent="0.25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</row>
    <row r="330" spans="1:161" x14ac:dyDescent="0.25">
      <c r="E330"/>
      <c r="K330"/>
    </row>
    <row r="331" spans="1:161" s="20" customFormat="1" x14ac:dyDescent="0.25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/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</row>
    <row r="332" spans="1:161" s="20" customFormat="1" x14ac:dyDescent="0.25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</row>
    <row r="333" spans="1:161" s="20" customFormat="1" x14ac:dyDescent="0.25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</row>
    <row r="334" spans="1:161" s="20" customFormat="1" x14ac:dyDescent="0.25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</row>
    <row r="335" spans="1:161" s="20" customFormat="1" x14ac:dyDescent="0.25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/>
      <c r="CH335"/>
      <c r="CI335"/>
      <c r="CJ335"/>
      <c r="CK335"/>
      <c r="CL335"/>
      <c r="CM335"/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</row>
    <row r="336" spans="1:161" s="20" customFormat="1" x14ac:dyDescent="0.25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/>
      <c r="CC336"/>
      <c r="CD336"/>
      <c r="CE336"/>
      <c r="CF336"/>
      <c r="CG336"/>
      <c r="CH336"/>
      <c r="CI336"/>
      <c r="CJ336"/>
      <c r="CK336"/>
      <c r="CL336"/>
      <c r="CM336"/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</row>
    <row r="337" spans="1:161" s="20" customFormat="1" x14ac:dyDescent="0.25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/>
      <c r="CH337"/>
      <c r="CI337"/>
      <c r="CJ337"/>
      <c r="CK337"/>
      <c r="CL337"/>
      <c r="CM337"/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</row>
    <row r="338" spans="1:161" s="20" customFormat="1" x14ac:dyDescent="0.25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/>
      <c r="CC338"/>
      <c r="CD338"/>
      <c r="CE338"/>
      <c r="CF338"/>
      <c r="CG338"/>
      <c r="CH338"/>
      <c r="CI338"/>
      <c r="CJ338"/>
      <c r="CK338"/>
      <c r="CL338"/>
      <c r="CM338"/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</row>
    <row r="339" spans="1:161" s="20" customFormat="1" x14ac:dyDescent="0.25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/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</row>
    <row r="340" spans="1:161" s="20" customFormat="1" x14ac:dyDescent="0.25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/>
      <c r="CC340"/>
      <c r="CD340"/>
      <c r="CE340"/>
      <c r="CF340"/>
      <c r="CG340"/>
      <c r="CH340"/>
      <c r="CI340"/>
      <c r="CJ340"/>
      <c r="CK340"/>
      <c r="CL340"/>
      <c r="CM340"/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</row>
    <row r="341" spans="1:161" s="20" customFormat="1" x14ac:dyDescent="0.25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/>
      <c r="CC341"/>
      <c r="CD341"/>
      <c r="CE341"/>
      <c r="CF341"/>
      <c r="CG341"/>
      <c r="CH341"/>
      <c r="CI341"/>
      <c r="CJ341"/>
      <c r="CK341"/>
      <c r="CL341"/>
      <c r="CM341"/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</row>
    <row r="342" spans="1:161" s="20" customFormat="1" x14ac:dyDescent="0.25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/>
      <c r="CB342"/>
      <c r="CC342"/>
      <c r="CD342"/>
      <c r="CE342"/>
      <c r="CF342"/>
      <c r="CG342"/>
      <c r="CH342"/>
      <c r="CI342"/>
      <c r="CJ342"/>
      <c r="CK342"/>
      <c r="CL342"/>
      <c r="CM342"/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</row>
    <row r="343" spans="1:161" s="20" customFormat="1" x14ac:dyDescent="0.25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/>
      <c r="CC343"/>
      <c r="CD343"/>
      <c r="CE343"/>
      <c r="CF343"/>
      <c r="CG343"/>
      <c r="CH343"/>
      <c r="CI343"/>
      <c r="CJ343"/>
      <c r="CK343"/>
      <c r="CL343"/>
      <c r="CM343"/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</row>
    <row r="344" spans="1:161" s="20" customFormat="1" x14ac:dyDescent="0.25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/>
      <c r="CC344"/>
      <c r="CD344"/>
      <c r="CE344"/>
      <c r="CF344"/>
      <c r="CG344"/>
      <c r="CH344"/>
      <c r="CI344"/>
      <c r="CJ344"/>
      <c r="CK344"/>
      <c r="CL344"/>
      <c r="CM344"/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</row>
    <row r="345" spans="1:161" x14ac:dyDescent="0.25">
      <c r="E345"/>
      <c r="K345"/>
    </row>
    <row r="346" spans="1:161" s="20" customFormat="1" x14ac:dyDescent="0.25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/>
      <c r="CC346"/>
      <c r="CD346"/>
      <c r="CE346"/>
      <c r="CF346"/>
      <c r="CG346"/>
      <c r="CH346"/>
      <c r="CI346"/>
      <c r="CJ346"/>
      <c r="CK346"/>
      <c r="CL346"/>
      <c r="CM346"/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</row>
    <row r="347" spans="1:161" s="20" customFormat="1" x14ac:dyDescent="0.25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/>
      <c r="CC347"/>
      <c r="CD347"/>
      <c r="CE347"/>
      <c r="CF347"/>
      <c r="CG347"/>
      <c r="CH347"/>
      <c r="CI347"/>
      <c r="CJ347"/>
      <c r="CK347"/>
      <c r="CL347"/>
      <c r="CM347"/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</row>
    <row r="348" spans="1:161" s="20" customFormat="1" x14ac:dyDescent="0.25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/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</row>
    <row r="349" spans="1:161" x14ac:dyDescent="0.25">
      <c r="E349"/>
      <c r="K349"/>
    </row>
    <row r="350" spans="1:161" s="20" customFormat="1" x14ac:dyDescent="0.25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/>
      <c r="CB350"/>
      <c r="CC350"/>
      <c r="CD350"/>
      <c r="CE350"/>
      <c r="CF350"/>
      <c r="CG350"/>
      <c r="CH350"/>
      <c r="CI350"/>
      <c r="CJ350"/>
      <c r="CK350"/>
      <c r="CL350"/>
      <c r="CM350"/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</row>
    <row r="351" spans="1:161" x14ac:dyDescent="0.25">
      <c r="E351"/>
      <c r="K351"/>
    </row>
    <row r="352" spans="1:161" s="20" customFormat="1" x14ac:dyDescent="0.25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/>
      <c r="CB352"/>
      <c r="CC352"/>
      <c r="CD352"/>
      <c r="CE352"/>
      <c r="CF352"/>
      <c r="CG352"/>
      <c r="CH352"/>
      <c r="CI352"/>
      <c r="CJ352"/>
      <c r="CK352"/>
      <c r="CL352"/>
      <c r="CM352"/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</row>
    <row r="353" spans="1:161" x14ac:dyDescent="0.25">
      <c r="E353"/>
      <c r="K353"/>
    </row>
    <row r="354" spans="1:161" s="20" customFormat="1" x14ac:dyDescent="0.25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/>
      <c r="CB354"/>
      <c r="CC354"/>
      <c r="CD354"/>
      <c r="CE354"/>
      <c r="CF354"/>
      <c r="CG354"/>
      <c r="CH354"/>
      <c r="CI354"/>
      <c r="CJ354"/>
      <c r="CK354"/>
      <c r="CL354"/>
      <c r="CM354"/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</row>
    <row r="355" spans="1:161" s="20" customFormat="1" x14ac:dyDescent="0.25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/>
      <c r="CC355"/>
      <c r="CD355"/>
      <c r="CE355"/>
      <c r="CF355"/>
      <c r="CG355"/>
      <c r="CH355"/>
      <c r="CI355"/>
      <c r="CJ355"/>
      <c r="CK355"/>
      <c r="CL355"/>
      <c r="CM355"/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</row>
    <row r="356" spans="1:161" s="20" customFormat="1" x14ac:dyDescent="0.25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/>
      <c r="CH356"/>
      <c r="CI356"/>
      <c r="CJ356"/>
      <c r="CK356"/>
      <c r="CL356"/>
      <c r="CM356"/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</row>
    <row r="357" spans="1:161" s="20" customFormat="1" x14ac:dyDescent="0.25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/>
      <c r="CC357"/>
      <c r="CD357"/>
      <c r="CE357"/>
      <c r="CF357"/>
      <c r="CG357"/>
      <c r="CH357"/>
      <c r="CI357"/>
      <c r="CJ357"/>
      <c r="CK357"/>
      <c r="CL357"/>
      <c r="CM357"/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</row>
    <row r="358" spans="1:161" x14ac:dyDescent="0.25">
      <c r="E358"/>
      <c r="K358"/>
    </row>
    <row r="359" spans="1:161" s="20" customFormat="1" x14ac:dyDescent="0.25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/>
      <c r="CC359"/>
      <c r="CD359"/>
      <c r="CE359"/>
      <c r="CF359"/>
      <c r="CG359"/>
      <c r="CH359"/>
      <c r="CI359"/>
      <c r="CJ359"/>
      <c r="CK359"/>
      <c r="CL359"/>
      <c r="CM359"/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</row>
    <row r="360" spans="1:161" s="20" customFormat="1" x14ac:dyDescent="0.25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/>
      <c r="CC360"/>
      <c r="CD360"/>
      <c r="CE360"/>
      <c r="CF360"/>
      <c r="CG360"/>
      <c r="CH360"/>
      <c r="CI360"/>
      <c r="CJ360"/>
      <c r="CK360"/>
      <c r="CL360"/>
      <c r="CM360"/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</row>
    <row r="361" spans="1:161" s="20" customFormat="1" x14ac:dyDescent="0.25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/>
      <c r="CC361"/>
      <c r="CD361"/>
      <c r="CE361"/>
      <c r="CF361"/>
      <c r="CG361"/>
      <c r="CH361"/>
      <c r="CI361"/>
      <c r="CJ361"/>
      <c r="CK361"/>
      <c r="CL361"/>
      <c r="CM361"/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</row>
    <row r="362" spans="1:161" x14ac:dyDescent="0.25">
      <c r="E362"/>
      <c r="K362"/>
    </row>
    <row r="363" spans="1:161" s="20" customFormat="1" x14ac:dyDescent="0.25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/>
      <c r="CC363"/>
      <c r="CD363"/>
      <c r="CE363"/>
      <c r="CF363"/>
      <c r="CG363"/>
      <c r="CH363"/>
      <c r="CI363"/>
      <c r="CJ363"/>
      <c r="CK363"/>
      <c r="CL363"/>
      <c r="CM363"/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</row>
    <row r="364" spans="1:161" s="20" customFormat="1" x14ac:dyDescent="0.25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/>
      <c r="CB364"/>
      <c r="CC364"/>
      <c r="CD364"/>
      <c r="CE364"/>
      <c r="CF364"/>
      <c r="CG364"/>
      <c r="CH364"/>
      <c r="CI364"/>
      <c r="CJ364"/>
      <c r="CK364"/>
      <c r="CL364"/>
      <c r="CM364"/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</row>
    <row r="365" spans="1:161" s="20" customFormat="1" x14ac:dyDescent="0.25">
      <c r="A365"/>
      <c r="B365"/>
      <c r="C365"/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/>
      <c r="CC365"/>
      <c r="CD365"/>
      <c r="CE365"/>
      <c r="CF365"/>
      <c r="CG365"/>
      <c r="CH365"/>
      <c r="CI365"/>
      <c r="CJ365"/>
      <c r="CK365"/>
      <c r="CL365"/>
      <c r="CM365"/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</row>
    <row r="366" spans="1:161" s="20" customFormat="1" x14ac:dyDescent="0.25">
      <c r="A366"/>
      <c r="B366"/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/>
      <c r="CC366"/>
      <c r="CD366"/>
      <c r="CE366"/>
      <c r="CF366"/>
      <c r="CG366"/>
      <c r="CH366"/>
      <c r="CI366"/>
      <c r="CJ366"/>
      <c r="CK366"/>
      <c r="CL366"/>
      <c r="CM366"/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</row>
    <row r="367" spans="1:161" s="20" customFormat="1" x14ac:dyDescent="0.25">
      <c r="A367"/>
      <c r="B367"/>
      <c r="C367"/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/>
      <c r="CB367"/>
      <c r="CC367"/>
      <c r="CD367"/>
      <c r="CE367"/>
      <c r="CF367"/>
      <c r="CG367"/>
      <c r="CH367"/>
      <c r="CI367"/>
      <c r="CJ367"/>
      <c r="CK367"/>
      <c r="CL367"/>
      <c r="CM367"/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</row>
    <row r="368" spans="1:161" s="20" customFormat="1" x14ac:dyDescent="0.25">
      <c r="A368"/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/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</row>
    <row r="369" spans="1:161" x14ac:dyDescent="0.25">
      <c r="E369"/>
      <c r="K369"/>
    </row>
    <row r="370" spans="1:161" s="20" customFormat="1" x14ac:dyDescent="0.25">
      <c r="A370"/>
      <c r="B370"/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</row>
    <row r="371" spans="1:161" s="20" customFormat="1" x14ac:dyDescent="0.25">
      <c r="A371"/>
      <c r="B371"/>
      <c r="C371"/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</row>
    <row r="372" spans="1:161" x14ac:dyDescent="0.25">
      <c r="E372"/>
      <c r="K372"/>
    </row>
    <row r="373" spans="1:161" s="20" customFormat="1" x14ac:dyDescent="0.25">
      <c r="A373"/>
      <c r="B373"/>
      <c r="C373"/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/>
      <c r="CH373"/>
      <c r="CI373"/>
      <c r="CJ373"/>
      <c r="CK373"/>
      <c r="CL373"/>
      <c r="CM373"/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</row>
    <row r="374" spans="1:161" s="20" customFormat="1" x14ac:dyDescent="0.25">
      <c r="A374"/>
      <c r="B374"/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/>
      <c r="CB374"/>
      <c r="CC374"/>
      <c r="CD374"/>
      <c r="CE374"/>
      <c r="CF374"/>
      <c r="CG374"/>
      <c r="CH374"/>
      <c r="CI374"/>
      <c r="CJ374"/>
      <c r="CK374"/>
      <c r="CL374"/>
      <c r="CM374"/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</row>
    <row r="375" spans="1:161" s="20" customFormat="1" x14ac:dyDescent="0.25">
      <c r="A375"/>
      <c r="B375"/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/>
      <c r="CB375"/>
      <c r="CC375"/>
      <c r="CD375"/>
      <c r="CE375"/>
      <c r="CF375"/>
      <c r="CG375"/>
      <c r="CH375"/>
      <c r="CI375"/>
      <c r="CJ375"/>
      <c r="CK375"/>
      <c r="CL375"/>
      <c r="CM375"/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</row>
    <row r="376" spans="1:161" s="20" customFormat="1" x14ac:dyDescent="0.25">
      <c r="A376"/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</row>
    <row r="377" spans="1:161" s="20" customFormat="1" x14ac:dyDescent="0.25">
      <c r="A377"/>
      <c r="B377"/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/>
      <c r="CB377"/>
      <c r="CC377"/>
      <c r="CD377"/>
      <c r="CE377"/>
      <c r="CF377"/>
      <c r="CG377"/>
      <c r="CH377"/>
      <c r="CI377"/>
      <c r="CJ377"/>
      <c r="CK377"/>
      <c r="CL377"/>
      <c r="CM377"/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</row>
    <row r="378" spans="1:161" s="20" customFormat="1" x14ac:dyDescent="0.25">
      <c r="A378"/>
      <c r="B378"/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</row>
    <row r="379" spans="1:161" s="20" customFormat="1" x14ac:dyDescent="0.25">
      <c r="A379"/>
      <c r="B379"/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/>
      <c r="CB379"/>
      <c r="CC379"/>
      <c r="CD379"/>
      <c r="CE379"/>
      <c r="CF379"/>
      <c r="CG379"/>
      <c r="CH379"/>
      <c r="CI379"/>
      <c r="CJ379"/>
      <c r="CK379"/>
      <c r="CL379"/>
      <c r="CM379"/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</row>
    <row r="380" spans="1:161" s="20" customFormat="1" x14ac:dyDescent="0.25">
      <c r="A380"/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  <c r="CA380"/>
      <c r="CB380"/>
      <c r="CC380"/>
      <c r="CD380"/>
      <c r="CE380"/>
      <c r="CF380"/>
      <c r="CG380"/>
      <c r="CH380"/>
      <c r="CI380"/>
      <c r="CJ380"/>
      <c r="CK380"/>
      <c r="CL380"/>
      <c r="CM380"/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</row>
    <row r="381" spans="1:161" s="20" customFormat="1" x14ac:dyDescent="0.25">
      <c r="A381"/>
      <c r="B381"/>
      <c r="C381"/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/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/>
      <c r="DH381"/>
      <c r="DI381"/>
      <c r="DJ381"/>
      <c r="DK381"/>
      <c r="DL381"/>
      <c r="DM381"/>
      <c r="DN381"/>
      <c r="DO381"/>
      <c r="DP381"/>
      <c r="DQ381"/>
      <c r="DR381"/>
      <c r="DS381"/>
      <c r="DT381"/>
      <c r="DU381"/>
      <c r="DV381"/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/>
      <c r="EZ381"/>
      <c r="FA381"/>
      <c r="FB381"/>
      <c r="FC381"/>
      <c r="FD381"/>
      <c r="FE381"/>
    </row>
    <row r="382" spans="1:161" s="20" customFormat="1" x14ac:dyDescent="0.25">
      <c r="A382"/>
      <c r="B382"/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/>
      <c r="CB382"/>
      <c r="CC382"/>
      <c r="CD382"/>
      <c r="CE382"/>
      <c r="CF382"/>
      <c r="CG382"/>
      <c r="CH382"/>
      <c r="CI382"/>
      <c r="CJ382"/>
      <c r="CK382"/>
      <c r="CL382"/>
      <c r="CM382"/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</row>
    <row r="383" spans="1:161" s="20" customFormat="1" x14ac:dyDescent="0.25">
      <c r="A383"/>
      <c r="B383"/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/>
      <c r="CH383"/>
      <c r="CI383"/>
      <c r="CJ383"/>
      <c r="CK383"/>
      <c r="CL383"/>
      <c r="CM383"/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</row>
    <row r="384" spans="1:161" s="20" customFormat="1" x14ac:dyDescent="0.25">
      <c r="A384"/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/>
      <c r="CB384"/>
      <c r="CC384"/>
      <c r="CD384"/>
      <c r="CE384"/>
      <c r="CF384"/>
      <c r="CG384"/>
      <c r="CH384"/>
      <c r="CI384"/>
      <c r="CJ384"/>
      <c r="CK384"/>
      <c r="CL384"/>
      <c r="CM384"/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</row>
    <row r="385" spans="1:161" s="20" customFormat="1" x14ac:dyDescent="0.25">
      <c r="A385"/>
      <c r="B385"/>
      <c r="C385"/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/>
      <c r="CB385"/>
      <c r="CC385"/>
      <c r="CD385"/>
      <c r="CE385"/>
      <c r="CF385"/>
      <c r="CG385"/>
      <c r="CH385"/>
      <c r="CI385"/>
      <c r="CJ385"/>
      <c r="CK385"/>
      <c r="CL385"/>
      <c r="CM385"/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</row>
    <row r="386" spans="1:161" s="20" customFormat="1" x14ac:dyDescent="0.25">
      <c r="A386"/>
      <c r="B386"/>
      <c r="C386"/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/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</row>
    <row r="387" spans="1:161" x14ac:dyDescent="0.25">
      <c r="E387"/>
      <c r="K387"/>
    </row>
    <row r="388" spans="1:161" s="20" customFormat="1" x14ac:dyDescent="0.25">
      <c r="A388"/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/>
      <c r="CC388"/>
      <c r="CD388"/>
      <c r="CE388"/>
      <c r="CF388"/>
      <c r="CG388"/>
      <c r="CH388"/>
      <c r="CI388"/>
      <c r="CJ388"/>
      <c r="CK388"/>
      <c r="CL388"/>
      <c r="CM388"/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</row>
    <row r="389" spans="1:161" s="20" customFormat="1" x14ac:dyDescent="0.25">
      <c r="A389"/>
      <c r="B389"/>
      <c r="C389"/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</row>
    <row r="390" spans="1:161" s="20" customFormat="1" x14ac:dyDescent="0.25">
      <c r="A390"/>
      <c r="B390"/>
      <c r="C390"/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/>
      <c r="CB390"/>
      <c r="CC390"/>
      <c r="CD390"/>
      <c r="CE390"/>
      <c r="CF390"/>
      <c r="CG390"/>
      <c r="CH390"/>
      <c r="CI390"/>
      <c r="CJ390"/>
      <c r="CK390"/>
      <c r="CL390"/>
      <c r="CM390"/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</row>
    <row r="391" spans="1:161" x14ac:dyDescent="0.25">
      <c r="E391"/>
      <c r="K391"/>
    </row>
    <row r="392" spans="1:161" s="20" customFormat="1" x14ac:dyDescent="0.25">
      <c r="A392"/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/>
      <c r="CB392"/>
      <c r="CC392"/>
      <c r="CD392"/>
      <c r="CE392"/>
      <c r="CF392"/>
      <c r="CG392"/>
      <c r="CH392"/>
      <c r="CI392"/>
      <c r="CJ392"/>
      <c r="CK392"/>
      <c r="CL392"/>
      <c r="CM392"/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</row>
    <row r="393" spans="1:161" x14ac:dyDescent="0.25">
      <c r="E393"/>
      <c r="K393"/>
    </row>
    <row r="394" spans="1:161" s="20" customFormat="1" x14ac:dyDescent="0.25">
      <c r="A394"/>
      <c r="B394"/>
      <c r="C394"/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/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</row>
    <row r="395" spans="1:161" x14ac:dyDescent="0.25">
      <c r="E395"/>
      <c r="K395"/>
    </row>
    <row r="396" spans="1:161" s="20" customFormat="1" x14ac:dyDescent="0.25">
      <c r="A396"/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/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</row>
    <row r="397" spans="1:161" s="20" customFormat="1" x14ac:dyDescent="0.25">
      <c r="A397"/>
      <c r="B397"/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/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</row>
    <row r="398" spans="1:161" s="20" customFormat="1" x14ac:dyDescent="0.25">
      <c r="A398"/>
      <c r="B398"/>
      <c r="C398"/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/>
      <c r="CB398"/>
      <c r="CC398"/>
      <c r="CD398"/>
      <c r="CE398"/>
      <c r="CF398"/>
      <c r="CG398"/>
      <c r="CH398"/>
      <c r="CI398"/>
      <c r="CJ398"/>
      <c r="CK398"/>
      <c r="CL398"/>
      <c r="CM398"/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</row>
    <row r="399" spans="1:161" s="20" customFormat="1" x14ac:dyDescent="0.25">
      <c r="A399"/>
      <c r="B399"/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/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</row>
    <row r="400" spans="1:161" x14ac:dyDescent="0.25">
      <c r="E400"/>
      <c r="K400"/>
    </row>
    <row r="401" spans="1:161" s="20" customFormat="1" x14ac:dyDescent="0.25">
      <c r="A401"/>
      <c r="B401"/>
      <c r="C401"/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/>
      <c r="CB401"/>
      <c r="CC401"/>
      <c r="CD401"/>
      <c r="CE401"/>
      <c r="CF401"/>
      <c r="CG401"/>
      <c r="CH401"/>
      <c r="CI401"/>
      <c r="CJ401"/>
      <c r="CK401"/>
      <c r="CL401"/>
      <c r="CM401"/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</row>
    <row r="402" spans="1:161" s="20" customFormat="1" x14ac:dyDescent="0.25">
      <c r="A402"/>
      <c r="B402"/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/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</row>
    <row r="403" spans="1:161" x14ac:dyDescent="0.25">
      <c r="E403"/>
      <c r="K403"/>
    </row>
    <row r="404" spans="1:161" x14ac:dyDescent="0.25">
      <c r="E404"/>
      <c r="K404"/>
    </row>
    <row r="405" spans="1:161" x14ac:dyDescent="0.25">
      <c r="E405"/>
      <c r="K405"/>
    </row>
    <row r="406" spans="1:161" x14ac:dyDescent="0.25">
      <c r="E406"/>
      <c r="K406"/>
    </row>
    <row r="407" spans="1:161" x14ac:dyDescent="0.25">
      <c r="E407"/>
      <c r="K407"/>
    </row>
    <row r="408" spans="1:161" x14ac:dyDescent="0.25">
      <c r="E408"/>
      <c r="K408"/>
    </row>
    <row r="409" spans="1:161" x14ac:dyDescent="0.25">
      <c r="E409"/>
      <c r="K409"/>
    </row>
    <row r="410" spans="1:161" x14ac:dyDescent="0.25">
      <c r="E410"/>
      <c r="K410"/>
    </row>
    <row r="411" spans="1:161" x14ac:dyDescent="0.25">
      <c r="E411"/>
      <c r="K411"/>
    </row>
    <row r="412" spans="1:161" x14ac:dyDescent="0.25">
      <c r="E412"/>
      <c r="K412"/>
    </row>
    <row r="413" spans="1:161" x14ac:dyDescent="0.25">
      <c r="E413"/>
      <c r="K413"/>
    </row>
    <row r="414" spans="1:161" x14ac:dyDescent="0.25">
      <c r="E414"/>
      <c r="K414"/>
    </row>
    <row r="415" spans="1:161" x14ac:dyDescent="0.25">
      <c r="E415"/>
      <c r="K415"/>
    </row>
    <row r="416" spans="1:161" x14ac:dyDescent="0.25">
      <c r="E416"/>
      <c r="K416"/>
    </row>
    <row r="417" spans="5:11" x14ac:dyDescent="0.25">
      <c r="E417"/>
      <c r="K417"/>
    </row>
    <row r="418" spans="5:11" x14ac:dyDescent="0.25">
      <c r="E418"/>
      <c r="K418"/>
    </row>
    <row r="419" spans="5:11" x14ac:dyDescent="0.25">
      <c r="E419"/>
      <c r="K419"/>
    </row>
    <row r="420" spans="5:11" x14ac:dyDescent="0.25">
      <c r="E420"/>
      <c r="K420"/>
    </row>
    <row r="421" spans="5:11" x14ac:dyDescent="0.25">
      <c r="E421"/>
      <c r="K421"/>
    </row>
    <row r="422" spans="5:11" x14ac:dyDescent="0.25">
      <c r="E422"/>
      <c r="K422"/>
    </row>
    <row r="423" spans="5:11" x14ac:dyDescent="0.25">
      <c r="E423"/>
      <c r="K423"/>
    </row>
    <row r="424" spans="5:11" x14ac:dyDescent="0.25">
      <c r="E424"/>
      <c r="K424"/>
    </row>
    <row r="425" spans="5:11" x14ac:dyDescent="0.25">
      <c r="E425"/>
      <c r="K425"/>
    </row>
    <row r="426" spans="5:11" x14ac:dyDescent="0.25">
      <c r="E426"/>
      <c r="K426"/>
    </row>
    <row r="427" spans="5:11" x14ac:dyDescent="0.25">
      <c r="E427"/>
      <c r="K427"/>
    </row>
    <row r="428" spans="5:11" x14ac:dyDescent="0.25">
      <c r="E428"/>
      <c r="K428"/>
    </row>
    <row r="429" spans="5:11" x14ac:dyDescent="0.25">
      <c r="E429"/>
      <c r="K429"/>
    </row>
    <row r="430" spans="5:11" x14ac:dyDescent="0.25">
      <c r="E430"/>
      <c r="K430"/>
    </row>
    <row r="431" spans="5:11" x14ac:dyDescent="0.25">
      <c r="E431"/>
      <c r="K431"/>
    </row>
    <row r="432" spans="5:11" x14ac:dyDescent="0.25">
      <c r="E432"/>
      <c r="K432"/>
    </row>
    <row r="433" spans="5:11" x14ac:dyDescent="0.25">
      <c r="E433"/>
      <c r="K433"/>
    </row>
    <row r="434" spans="5:11" x14ac:dyDescent="0.25">
      <c r="E434"/>
      <c r="K434"/>
    </row>
    <row r="435" spans="5:11" x14ac:dyDescent="0.25">
      <c r="E435"/>
      <c r="K435"/>
    </row>
    <row r="436" spans="5:11" x14ac:dyDescent="0.25">
      <c r="E436"/>
      <c r="K436"/>
    </row>
    <row r="437" spans="5:11" x14ac:dyDescent="0.25">
      <c r="E437"/>
      <c r="K437"/>
    </row>
    <row r="438" spans="5:11" x14ac:dyDescent="0.25">
      <c r="E438"/>
      <c r="K438"/>
    </row>
    <row r="439" spans="5:11" x14ac:dyDescent="0.25">
      <c r="E439"/>
      <c r="K439"/>
    </row>
    <row r="440" spans="5:11" x14ac:dyDescent="0.25">
      <c r="E440"/>
      <c r="K440"/>
    </row>
    <row r="441" spans="5:11" x14ac:dyDescent="0.25">
      <c r="E441"/>
      <c r="K441"/>
    </row>
    <row r="442" spans="5:11" x14ac:dyDescent="0.25">
      <c r="E442"/>
      <c r="K442"/>
    </row>
    <row r="443" spans="5:11" x14ac:dyDescent="0.25">
      <c r="E443"/>
      <c r="K443"/>
    </row>
    <row r="444" spans="5:11" x14ac:dyDescent="0.25">
      <c r="E444"/>
      <c r="K444"/>
    </row>
    <row r="445" spans="5:11" x14ac:dyDescent="0.25">
      <c r="E445"/>
      <c r="K445"/>
    </row>
    <row r="446" spans="5:11" x14ac:dyDescent="0.25">
      <c r="E446"/>
      <c r="K446"/>
    </row>
    <row r="447" spans="5:11" x14ac:dyDescent="0.25">
      <c r="E447"/>
      <c r="K447"/>
    </row>
    <row r="448" spans="5:11" x14ac:dyDescent="0.25">
      <c r="E448"/>
      <c r="K448"/>
    </row>
    <row r="449" spans="5:11" x14ac:dyDescent="0.25">
      <c r="E449"/>
      <c r="K449"/>
    </row>
    <row r="450" spans="5:11" x14ac:dyDescent="0.25">
      <c r="E450"/>
      <c r="K450"/>
    </row>
    <row r="451" spans="5:11" x14ac:dyDescent="0.25">
      <c r="E451"/>
      <c r="K451"/>
    </row>
    <row r="452" spans="5:11" x14ac:dyDescent="0.25">
      <c r="E452"/>
      <c r="K452"/>
    </row>
    <row r="453" spans="5:11" x14ac:dyDescent="0.25">
      <c r="E453"/>
      <c r="K453"/>
    </row>
    <row r="454" spans="5:11" x14ac:dyDescent="0.25">
      <c r="E454"/>
      <c r="K454"/>
    </row>
    <row r="455" spans="5:11" x14ac:dyDescent="0.25">
      <c r="E455"/>
      <c r="K455"/>
    </row>
    <row r="456" spans="5:11" x14ac:dyDescent="0.25">
      <c r="E456"/>
      <c r="K456"/>
    </row>
  </sheetData>
  <mergeCells count="1">
    <mergeCell ref="A1:D1"/>
  </mergeCells>
  <conditionalFormatting sqref="B3">
    <cfRule type="cellIs" dxfId="11" priority="11" operator="greaterThan">
      <formula>1</formula>
    </cfRule>
  </conditionalFormatting>
  <conditionalFormatting sqref="B40 B96 B152">
    <cfRule type="expression" dxfId="10" priority="12">
      <formula>#REF!&gt;#REF!</formula>
    </cfRule>
  </conditionalFormatting>
  <conditionalFormatting sqref="B59">
    <cfRule type="cellIs" dxfId="9" priority="10" operator="greaterThan">
      <formula>1</formula>
    </cfRule>
  </conditionalFormatting>
  <conditionalFormatting sqref="B115">
    <cfRule type="cellIs" dxfId="8" priority="9" operator="greaterThan">
      <formula>1</formula>
    </cfRule>
  </conditionalFormatting>
  <conditionalFormatting sqref="H3">
    <cfRule type="cellIs" dxfId="7" priority="7" operator="greaterThan">
      <formula>1</formula>
    </cfRule>
  </conditionalFormatting>
  <conditionalFormatting sqref="H40 H96 H152">
    <cfRule type="expression" dxfId="6" priority="8">
      <formula>#REF!&gt;#REF!</formula>
    </cfRule>
  </conditionalFormatting>
  <conditionalFormatting sqref="H59">
    <cfRule type="cellIs" dxfId="5" priority="6" operator="greaterThan">
      <formula>1</formula>
    </cfRule>
  </conditionalFormatting>
  <conditionalFormatting sqref="H115">
    <cfRule type="cellIs" dxfId="4" priority="5" operator="greaterThan">
      <formula>1</formula>
    </cfRule>
  </conditionalFormatting>
  <conditionalFormatting sqref="N3">
    <cfRule type="cellIs" dxfId="3" priority="3" operator="greaterThan">
      <formula>1</formula>
    </cfRule>
  </conditionalFormatting>
  <conditionalFormatting sqref="N40 N96 N152">
    <cfRule type="expression" dxfId="2" priority="4">
      <formula>#REF!&gt;#REF!</formula>
    </cfRule>
  </conditionalFormatting>
  <conditionalFormatting sqref="N59">
    <cfRule type="cellIs" dxfId="1" priority="2" operator="greaterThan">
      <formula>1</formula>
    </cfRule>
  </conditionalFormatting>
  <conditionalFormatting sqref="N115">
    <cfRule type="cellIs" dxfId="0" priority="1" operator="greaterThan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Tigro EXH improved</vt:lpstr>
      <vt:lpstr>Tigro EXH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Kanashi O</dc:creator>
  <cp:lastModifiedBy>Kanashi O</cp:lastModifiedBy>
  <dcterms:created xsi:type="dcterms:W3CDTF">2025-05-31T02:27:17Z</dcterms:created>
  <dcterms:modified xsi:type="dcterms:W3CDTF">2025-05-31T19:37:01Z</dcterms:modified>
</cp:coreProperties>
</file>